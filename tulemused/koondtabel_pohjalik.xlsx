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karle\PycharmProjects\loputoo\"/>
    </mc:Choice>
  </mc:AlternateContent>
  <xr:revisionPtr revIDLastSave="0" documentId="13_ncr:1_{13852FAB-01DB-4743-BD1F-91771D83F183}" xr6:coauthVersionLast="47" xr6:coauthVersionMax="47" xr10:uidLastSave="{00000000-0000-0000-0000-000000000000}"/>
  <bookViews>
    <workbookView xWindow="-120" yWindow="-120" windowWidth="29040" windowHeight="15840" xr2:uid="{00000000-000D-0000-FFFF-FFFF00000000}"/>
  </bookViews>
  <sheets>
    <sheet name="Hinde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41" i="1" l="1"/>
  <c r="M141" i="1"/>
  <c r="J141" i="1"/>
  <c r="G141" i="1"/>
  <c r="D141" i="1"/>
  <c r="O140" i="1"/>
  <c r="M140" i="1"/>
  <c r="J140" i="1"/>
  <c r="G140" i="1"/>
  <c r="D140" i="1"/>
  <c r="K138" i="1"/>
  <c r="H138" i="1"/>
  <c r="E138" i="1"/>
  <c r="B138" i="1"/>
  <c r="K140" i="1"/>
  <c r="H140" i="1"/>
  <c r="E140" i="1"/>
  <c r="B140" i="1"/>
  <c r="K139" i="1"/>
  <c r="H139" i="1"/>
  <c r="E139" i="1"/>
  <c r="B139" i="1"/>
</calcChain>
</file>

<file path=xl/sharedStrings.xml><?xml version="1.0" encoding="utf-8"?>
<sst xmlns="http://schemas.openxmlformats.org/spreadsheetml/2006/main" count="563" uniqueCount="451">
  <si>
    <t>Õpilane</t>
  </si>
  <si>
    <t>GPT-5.2 - Punktid</t>
  </si>
  <si>
    <t>GPT-5.2 - Tagasiside</t>
  </si>
  <si>
    <t>GPT-5.1 - Punktid</t>
  </si>
  <si>
    <t>GPT-5.1 - Tagasiside</t>
  </si>
  <si>
    <t>Gemini 3.1 Pro - Punktid</t>
  </si>
  <si>
    <t>Gemini 3.1 Pro - Tagasiside</t>
  </si>
  <si>
    <t>Sonnet 4.5 - Punktid</t>
  </si>
  <si>
    <t>Sonnet 4.5 - Tagasiside</t>
  </si>
  <si>
    <t>Keskmine punktid</t>
  </si>
  <si>
    <t>Väga hea tehniline arusaam kahe-ümbriku mudelist ja serverite eraldamisest; täienda eriti hääle kontrollimise täpset mehhanismi (QR-is olevad andmed + lokaalne kontroll) ning too Smart-ID lubamise osas konkreetsemad õiguslikud viited (VVK pädevus, eIDAS high).</t>
  </si>
  <si>
    <t>Vastused on detailsed, tehniliselt korrektsed ja katavad kõik küsitud aspektid, näidates head arusaamist kahe ümbriku skeemist, kontrolliprotsessist, Smart-ID rollist ja riskianalüüsist.</t>
  </si>
  <si>
    <t>Väga head teadmised teemast, ülevaatlik vastus, kuid teises küsimuses jäi nutiseadme turvalisuse tehnilise külje lahtimõtestamine pisut pealiskaudseks.</t>
  </si>
  <si>
    <t>Väga hea vastus, mis näitab head arusaamist e-hääletamise tehnilistest aspektidest ja turvamehhanismidest.</t>
  </si>
  <si>
    <t>Vastus on väga tugev: tehniline protsess, kontrollrakenduse loogika, Smart-ID õiguslik raam ja riskide võrdlus on hästi kokku seotud; miinusena jäi nutikontrolli krüptograafiline 'kuidas täpselt leitakse kandidaat' detail veidi üldisemaks, kuid piisav.</t>
  </si>
  <si>
    <t>Kirjeldused on süsteemsed, tehniliselt korrektsed ja hästi põhjendatud; näitad head arusaamist nii krüptograafilistest kui organisatsioonilistest aspektidest.</t>
  </si>
  <si>
    <t>Väga tugev vastus, tehniline loogika on lahti kirjutatud suures osas detailselt ja õigete terminitega.</t>
  </si>
  <si>
    <t>Suurepärane töö! Kõik küsimused on põhjalikult ja tehniliselt korrektselt lahti mõtestatud.</t>
  </si>
  <si>
    <t>Vastus puudub või on liiga lühike hindamiseks</t>
  </si>
  <si>
    <t>Väga hea tehniline ülevaade nii kahe-ümbriku loogikast kui ka verifitseerimisest; Smart-ID osas on õiguslik pool hästi tabatud, kuid turbe poolelt võiks lisada konkreetsemaid termineid (nt QSCD/QES, võtmeosade kaitse HSM-is).</t>
  </si>
  <si>
    <t>Vastus on väga sisukas ja tehniliselt küps, käsitledes nii arhitektuuri kui riskianalüüsi korralikult; kõik neli alaülesannet on sisuliselt kaetud.</t>
  </si>
  <si>
    <t>Täismaterjali omandamine on ilmne. Eeskujulik ja spetsiifiline vastus.</t>
  </si>
  <si>
    <t>Hea töö, mis näitab head arusaamist põhiprintsiipidest, mõned kohad võiksid olla veidi detailsemad.</t>
  </si>
  <si>
    <t>Põhiidee (krüptitud sisemine ümbrik + allkirjastatud välimine ümbrik) on hästi olemas, kuid nutiseadmega kontrollimise krüptograafia ja Smart-ID õiguslik/tehniline põhjendus vajavad täpsust ning turvariskide arutelu peaks olema oluliselt konkreetsem.</t>
  </si>
  <si>
    <t>Tehnilised kirjeldused (ümbrik, nonce, HSM) on arusaadavad ja valdavalt õiged, kuid turvalisuse võrdluse osa jääb lühikeseks ja väheargumenteerituks.</t>
  </si>
  <si>
    <t>Tehniline arusaam on hea, kuid neljas arvamus pole adekvaatselt argumenteeritud küberrünnakute osas.</t>
  </si>
  <si>
    <t>Põhimõtted on mõistetud, kuid tehnilised detailid ja terminoloogia vajavad täpsustamist.</t>
  </si>
  <si>
    <t>Hea arusaam verifitseerimisest ja Smart-ID lubamise loogikast, kuid 1. ja 4. vastus vajaksid rohkem tehnilist detailsust (ümbrikute skeem, miksimine, võtmejaotus, konkreetsed ründekohad ja nende mõju).</t>
  </si>
  <si>
    <t>Näitad korralikku arusaamist kontrollmehhanismist ja Smart-ID õiguslikust/tehnilisest staatusest, kuid ümbriku skeemi ja turvariskide võrdlus võiks olla detailsem.</t>
  </si>
  <si>
    <t>Põhjalik ning asjakohane vastus. Esimeses küsimuses oleks võinud detailsust veidi rohkem otsida.</t>
  </si>
  <si>
    <t>Põhiarusaam on olemas, kuid vastused vajavad rohkem detailsust ja lõpetamist.</t>
  </si>
  <si>
    <t>Tekst katab kõik teemad üldjoontes, kuid vastused pole küsimuste kaupa selgelt eristatud ning 1. küsimuse (kahe ümbriku skeem + võtmete rollid) tehniline selgitus on puudu/ebapiisav; kontrollimise ja Smart-ID osas on mõned ebatäpsused terminite kasutuses.</t>
  </si>
  <si>
    <t>Vastad kõikidele küsimustele sisuliselt, eriti hästi on selgitatud kontrolliprotsess ja Smart-ID; hääle salajasuse osa võiks rohkem rõhutada krüptograafilist ümbrikuloogikat.</t>
  </si>
  <si>
    <t>Vastuste fookus kohati hajus. Krüptograafiliste operatsioonide olemuse kordamine (1. küsimuses) aitaks tugevdada detailide omandamist.</t>
  </si>
  <si>
    <t>Hea töö, mis näitab arusaamist põhiprintsiipidest, mõned kohad vajavad täpsustamist.</t>
  </si>
  <si>
    <t>Sisu on põhimõtteliselt õige ja terminid on olemas, kuid 2. küsimuses on privaatsusmehhanism kirjeldatud veidi valesti ning Smart-ID (3. küsimus) vajab õigusliku poole konkreetsemat lahtikirjutust.</t>
  </si>
  <si>
    <t>Vastus on lühike, kuid sisukas; ümbriku skeem ja Smart-ID tehniline lahendus on õigesti kirjeldatud, hääle kontrolli osa võiks olla täpsem.</t>
  </si>
  <si>
    <t>Asjalik, lühidalt ja konkreetselt asjad paika pandud. Nutiseadme ja krüpograafilise sobitamise tehniline sügavus jäi vaid natuke pehmeks.</t>
  </si>
  <si>
    <t>Põhimõtted on mõistetud, kuid vastused on liiga lühikesed ja vajavad rohkem detailsust.</t>
  </si>
  <si>
    <t>Väga sisukas ja terviklik vastus, eriti kontrollimise ja riskide võrdluse osas; täpsusta Smart-ID puhul konkreetseid otsuseid/nõudeid (VVK volitus, eIDAS high tase, isikustatud konto) ja hoidu liigsest lihtsustusest võtmete asukoha kirjeldamisel.</t>
  </si>
  <si>
    <t>Vastused on väga läbimõeldud ja tehniliselt täpsed, eriti kontrolliprotsessi ja Smart-ID käsitluses, ning näitavad head arusaamist süsteemi tugevustest/nõrkustest.</t>
  </si>
  <si>
    <t>Väga hästi ja selgelt esitatud teadmised, analüüs on detailne ning esinduslik.</t>
  </si>
  <si>
    <t>Väga põhjalik ja hästi struktureeritud töö, mis näitab sügavat arusaamist teemast!</t>
  </si>
  <si>
    <t>Hea, et mainisid eIDAS/QES ja HSM-i, kuid krüptograafia põhiloogika (avaliku/salajase võtme rollid) on 1. vastuses sassi läinud ning 2. vastus vajab konkreetset kontrolliprotsessi selgitust (QR-is seansikood + juhuarv, lokaalne verifitseerimine).</t>
  </si>
  <si>
    <t>Smart-ID osa ja riskide analüüs on tugevad, kuid hääle salajasuse ja kontrollimehhanismi tehniline kirjeldus sisaldab segadust ja on liiga lühike.</t>
  </si>
  <si>
    <t>Asjakohane töö ja korrektsed spetsiifilised teadmised enamuses punktides. Nutiseadme osas võinuks veidi pikemalt lahti kirjutada võrdluse detailid.</t>
  </si>
  <si>
    <t>Põhiarusaam on olemas, kuid mõned tehnilised detailid vajavad täpsustamist.</t>
  </si>
  <si>
    <t>Väga tugev tehniline arusaam salajasuse tagamisest ja süsteemi arhitektuurist; kontrollimise ja Smart-ID õigusliku raami osa võiks siduda konkreetsemate standardite/otsustega ning 4. küsimuses väited (nt 'tõendatavus') vajavad täpsustamist.</t>
  </si>
  <si>
    <t>Vastus on sisukas ja tehniliselt küps, katab põhjalikult nii protokolli kui turvariskid ning näitab väga head arusaamist e-hääletuse arhitektuurist.</t>
  </si>
  <si>
    <t>Silmapaistvalt hea töö nii tehniliste standardite kirjeldamise kui ka analüütilise mõtlemise poolelt.</t>
  </si>
  <si>
    <t>Väga hea töö, mis näitab head arusaamist e-hääletamise tehnilistest aspektidest!</t>
  </si>
  <si>
    <t>Hea üldine arusaam ja loogiline põhjendus, kuid tehnilised detailid (mixnet/anonümiseerimine, verifitseerimise täpne krüptosamm) ning Smart-ID õiguslik alus võiksid olla konkreetsemad.</t>
  </si>
  <si>
    <t>Vastused on arusaadavad ja õigel suunal, eriti Smart-ID käsitlus, kuid tehniline sügavus ümbriku skeemi ja kontrolliprotsessi osas jääb esmakursuse tasemel minimaalseks.</t>
  </si>
  <si>
    <t>Vastused viitavad korrektsele arusaamale valdkonnast. Siiski võinuks teises alamküsimuses spetsiifilise tehnilise loogika detailsemalt ja matemaatiliselt lahti seletada.</t>
  </si>
  <si>
    <t>Põhiarusaam on olemas, kuid vastused on liiga üldised ja vajavad rohkem tehnilisi detaile.</t>
  </si>
  <si>
    <t>Põhipunktid on olemas, kuid lisa 1. küsimuses ümbrikute skeemi (allkiri vs krüpteering), 2. küsimuses QR-andmete roll ning 3. küsimuses konkreetsem õiguslik alus (VVK pädevus, eIDAS high) ja Smart-ID võtmete jagamise turve.</t>
  </si>
  <si>
    <t>Vastus katab kõik küsimused ja eristab hästi kontrolliprotsessi privaatsusmehhanismi, kuid ümbriku skeemi ja riskide käsitlus võiks olla detailsem.</t>
  </si>
  <si>
    <t>Argumenteeritud lahendid ja tehniliselt hästi loetavad selgitused.</t>
  </si>
  <si>
    <t>Põhiarusaam on olemas, kuid vastused vajavad rohkem detailsust ja konkreetseid näiteid.</t>
  </si>
  <si>
    <t>1. vastus on hea lühikokkuvõttena, kuid 2. ja 3. küsimus vajavad tehnilisemat sisu (kuidas kontroll päriselt töötab ja mis täpselt lubas Smart-ID kasutuse), ning 4. küsimuses võiks konkreetsemalt nimetada ründevektoreid.</t>
  </si>
  <si>
    <t>Hääle salajasuse ja Smart-ID õigusliku/tehnilise staatuse osa on hea; kontrolli tehniline mehhanism võiks olla täpsemalt kirjeldatud.</t>
  </si>
  <si>
    <t>Lahendid olid lakooniliselt korrektsed. Nutiseadme sügavamas tehnilises loogikas esines lünki, mida võiks täita.</t>
  </si>
  <si>
    <t>Põhimõtted on mõistetud, kuid kõik vastused on liiga lühikesed ja vajavad rohkem detailsust.</t>
  </si>
  <si>
    <t>Väga tugev ja hästi viidatud vastus; kõige rohkem vajaks täpsust 2. küsimuse krüptograafiline detail (kontroll ei 'dekrüpteeri' serveripoolse võtmega, vaid kontrollib lokaalselt QR-andmete abil).</t>
  </si>
  <si>
    <t>Vastus on väga põhjalik ja hästi viidatud; näitad süsteemi tehnilisest toimimisest ja riskidest väga head arusaamist kõikide alaülesannete lõikes.</t>
  </si>
  <si>
    <t>Eeskujulik kirjand, mis tõendab laialdast arusaama protsessidest. Ainult nutiseadme vastuses on eksimuseks dekrüpteerimise rõhutamine verifitseerimisel.</t>
  </si>
  <si>
    <t>Väga hea töö, mis näitab sügavat arusaamist teemast, kaasatud on ka allikad!</t>
  </si>
  <si>
    <t>Väga hea selgitus salajasuse põhimehhanismidest ning kontrollimise üldloogikast; Smart-ID küsimuses keskendusid rohkem riskidele kui sellele, millised konkreetsed õiguslikud/tehnilised muudatused selle kasutamise lubasid.</t>
  </si>
  <si>
    <t>Kõik neli vastust on sisukad ja tehniliselt adekvaatsed, eriti hästi on lahti seletatud kontrolliprotsess ja Smart-ID riskianalüüs.</t>
  </si>
  <si>
    <t>Väga hästi ja selgelt omandatud materjal. Laitmatu analüüs ja spetsiifika sidumine.</t>
  </si>
  <si>
    <t>Hea töö, mis näitab head arusaamist põhiprintsiipidest, mõned kohad vajavad täpsustamist.</t>
  </si>
  <si>
    <t>1. küsimus on sisuliselt hästi vastatud, kuid ülejäänud küsimustele vastused puuduvad, seega ei saa hinnata arusaama kontrollimisest, Smart-ID lubamisest ega riskide võrdlusest.</t>
  </si>
  <si>
    <t>Oled kirjeldanud hääle salajasuse mehhanismi hästi, kuid ülejäänud kolm alaülesannet on vastamata, mistõttu saad punktid ainult esimese eest.</t>
  </si>
  <si>
    <t>Oled teinud vaid ühe ülesande. Esimene ülesanne on hiilgav lahendusega, aga ülejäänud ülesanded on lahendamata.</t>
  </si>
  <si>
    <t>Esimene küsimus on väga hästi vastatud, kuid ülejäänud vastused puuduvad.</t>
  </si>
  <si>
    <t>Üldine arusaam on olemas, kuid 2. küsimuses on kontrollimise mehhanism kirjeldatud valesti (see pole lihtsalt räsi võrdlus) ning 1. ja 3. küsimuses vajaksid rohkem tehnilisi detaile (allkiri kui välimine ümbrik, võtmejaotus, VVK/eIDAS high).</t>
  </si>
  <si>
    <t>Smart-ID ja turvalisuse võrdluse osa on tugevad, kuid hääle salajasuse ja kontrolliprotsessi tehniline seletus on pigem üldsõnaline ja kohati ebatäpne.</t>
  </si>
  <si>
    <t>Lendus jutt ja kerge toon asendaks kohati paremini tehnilistes argumentatsioonides sisukate süvadetailidega. Oled õigesti aru saanud, lihtsalt jälgige õigeid mõisteid edaspidi.</t>
  </si>
  <si>
    <t>Põhiarusaam on olemas, kuid vastused vajavad rohkem tehnilisi detaile ja konkreetseid näiteid.</t>
  </si>
  <si>
    <t>Hea kokkuvõte põhiprintsiipidest ja riskidest; Smart-ID küsimuses lisa konkreetsemalt, millised õiguslikud otsused/nõuded selle lubasid ja mis on SplitKey/HSM turbe mõte, ning 1. küsimuses võiks mainida kahe ümbriku skeemi.</t>
  </si>
  <si>
    <t>Vastus on selge ja arusaadav, eriti hääle salajasuse ja riskide võrdluse osas; Smart-ID tehniline käsitlus võiks olla veidi täpsem.</t>
  </si>
  <si>
    <t>Vastused viitavad, et tunned teemat hästi ja oled loengus tähelepanelik olnud.</t>
  </si>
  <si>
    <t>Suurepärane 3. küsimuse täpsus ja hea tehniline kirjeldus 1./4. osas; 2. küsimus vajab täielikku ümbertegemist (QR, seansikood, juhuarv/nonce, lokaalne tuletamine ja miks server ei näe valikut).</t>
  </si>
  <si>
    <t>Vastused on tehniliselt rikkalikud ja toovad sisse isegi konkreetseid otsuse numbreid; näitad selget arusaamist nii protokollist kui õiguslikust raamistikust.</t>
  </si>
  <si>
    <t>Oled pannud energia osadesse seadusandlustesse, aga ei keskendu kõikide tehniliste detailide ja rakenduste vastamisele omasõnaliselt (nt. 2. küsimusel).</t>
  </si>
  <si>
    <t>Hea töö, mis näitab head arusaamist ja viitab konkreetsetele allikatele.</t>
  </si>
  <si>
    <t>Hästi tehtud nutikontrolli ja Smart-ID õigusliku aluse kirjeldus; 1. vastuses täpsusta, et valija annab allkirja (ei 'krüpteeri privaatvõtmega'), ning 4. vastuses too realistlikumad paberhääletuse ründed (kasti/sedelitega manipuleerimine, lugemisvead) ilma valija valiku 'lihtsa nähtavuse' väiteta.</t>
  </si>
  <si>
    <t>Kontrolliprotsessi ja seadusandliku/Smart-ID osa seletus on väga hea; hääle salajasuse kirjeldus on sisuliselt õige, kuid krüptovõtmete rollid on veidi sassi läinud.</t>
  </si>
  <si>
    <t>Vaid mõne turbesüsteemi detailiga oleksid ka kolmanda küsimuse maksimaalse skoorini viinud. Edasises töös vaagige veidi ka turvastandardiste füüsilist poolt.</t>
  </si>
  <si>
    <t>Hea, et kasutasid allikaid ja proovisid siduda õigusliku ning tehnilise poole, kuid Smart-ID küsimus jäi vastamata ning 1.–2. vastuses tuleks täpsustada krüptograafia põhiloogikat (avalik võti krüpteerib, salajane võti avab; QR ei kanna 'privaatvõtit').</t>
  </si>
  <si>
    <t>Turvalisuse võrdlus ja üldine arutelu on hea, kuid tehnilised kirjeldused, eriti kontrolliprotsessi ja Smart-ID kohta, sisaldavad ebatäpsusi ja ebakindlust.</t>
  </si>
  <si>
    <t>Pidevalt edastasid pigem URL viited ja seaduste tsitaadid kui selgitasid sisulist turvaarhtitektuuri omasõnaliselt lahti.</t>
  </si>
  <si>
    <t>Hea töö, mis näitab head arusaamist, kuid mõned kohad vajavad rohkem tehnilisi detaile.</t>
  </si>
  <si>
    <t>1. küsimuse põhiosa on hea algus, kuid 2. küsimus ei vasta küsitule ning 3.–4. küsimused on vastamata, mistõttu ei saa hinnata arusaama Smart-ID kasutuselevõtust ega turvalisuse võrdlusest.</t>
  </si>
  <si>
    <t>Hääle salajasuse tehniline kirjeldus on lühike, kuid sisuline; ülejäänud alaülesanded on sisuliselt vastamata, seega saad punktid vaid esimese eest.</t>
  </si>
  <si>
    <t>Üle poole asjadest on tegemata. Materjal vajas oluliselt enam ajakulu.</t>
  </si>
  <si>
    <t>Esimene küsimus on osaliselt vastatud, kuid ülejäänud vastused on kas puudulikud või puuduvad.</t>
  </si>
  <si>
    <t>Hästi selgitatud Smart-ID lubamise üldine raam (VVK + eIDAS high), kuid 2. küsimus vajab detailsemat tehnilist kirjeldust, kuidas verifitseerimine töötab ilma serverile valikut paljastamata; 1. küsimuses täpsusta ümbrikute ja allkirja/krüpteeringu rollid.</t>
  </si>
  <si>
    <t>Õigesti kirjeldatud ümbriku skeem ja seadusandlus; kontrollirakenduse tehniline osa on veidi üldine, kuid riskide analüüs on tasakaalustatud.</t>
  </si>
  <si>
    <t>Küsimuste sisulisel vastamisel tehnoloogia olemused (SmartID splitkey mudel, nutiseadme lokaalne parameetri sobitamine) kippusid tahaplaanile jääma valija seaduste kõrval.</t>
  </si>
  <si>
    <t>Hea töö, mis näitab head arusaamist ja võrdleb mõlemat süsteemi põhjalikult.</t>
  </si>
  <si>
    <t>Väga tugev tehniline vastus, eriti 1.–2. küsimuses; Smart-ID osas oleks ideaalne lisada ka eIDAS-high samaväärsuse (RIA) ja VVK otsuse detail, kuid üldine arusaam on selgelt olemas.</t>
  </si>
  <si>
    <t>Vastused on sisukad ja tehniliselt korrektsed kõigi nelja küsimuse kohta, eriti paistab silma täpne kontrolliprotsessi kirjeldus ja tasakaalustatud turvalisuse analüüs.</t>
  </si>
  <si>
    <t>Tegu on väga pädeva arusaama ja tugeva eeltööga valdkonnast. Ainult üks SmartID allarvulise tehnoloogia olemus teinuks asja sajaprotsendiliseks.</t>
  </si>
  <si>
    <t>Väga hea töö, mis näitab sügavat arusaamist teemast!</t>
  </si>
  <si>
    <t>Hea üldine arusaam e-hääletamise salajasusest ja riskidest, kuid Smart-ID küsimus vajab oluliselt konkreetsemat tehnilist ja õiguslikku põhjendust (VVK pädevus, eIDAS high, SplitKey/HSM, isikustatud konto).</t>
  </si>
  <si>
    <t>Vastused katavad kõik küsimused ja on sisuliselt õigel suunal, eriti hääle salajasuse ja kontrolli osas; Smart-ID ja riskide analüüs võiksid olla tehnilisemad ja detailsemad.</t>
  </si>
  <si>
    <t>Vastused viitavad, et tunned teemat piisavalt hästi. Julget edasitegevust julgevama terminoloogilise sõnavara loomise juures võiks esineda.</t>
  </si>
  <si>
    <t>Põhiarusaam on olemas, kuid vastused on liiga lühikesed ja vajavad rohkem tehnilisi detaile.</t>
  </si>
  <si>
    <t>Väga tugev tehniline arusaam salajasuse ja kontrollimise mehhanismidest; paranda Smart‑ID osa, tuues konkreetsemalt välja LoA High/eIDAS otsus, QES/QSCD seos ning split-key/HSM roll.</t>
  </si>
  <si>
    <t>Väga tugev, tehniliselt täpne ja hästi struktureeritud vastus kõigi nelja küsimuse kohta, näitab head arusaamist nii krüptograafiast kui ründevektoritest.</t>
  </si>
  <si>
    <t>Väga tugev ja detailne vastus, oled e-valimiste tehnilistest nüanssidest suurepäraselt aru saanud.</t>
  </si>
  <si>
    <t>Väga põhjalik ja tehniliselt täpne vastus kõigile küsimustele, näitab head arusaamist e-valimiste turvalisusest.</t>
  </si>
  <si>
    <t>Vastus on tehniliselt korrektne ja loogiline; Smart‑ID peatükis võiks lisada konkreetsema viite LoA High otsusele ja Smart‑ID split-key/HSM mehhanismile.</t>
  </si>
  <si>
    <t>Kõik neli vastust on tehniliselt korrektsed, konkreetsed ja vastavad küsitule, näidates head arusaamist protsessidest ja riskidest.</t>
  </si>
  <si>
    <t>Suurepärane töö! Selgitused on konkreetsed, tehniliselt täpsed ja näitavad teema väga head omandamist.</t>
  </si>
  <si>
    <t>Väga hea ja struktureeritud vastus, näitab head arusaamist süsteemi toimimisest ja riskidest.</t>
  </si>
  <si>
    <t>Väga tugev ja tehniliselt küps vastus; Q2 serveripoolse tagastuse detaili võiks kontrollida, muus osas väga hea.</t>
  </si>
  <si>
    <t>Vastus on sisuliselt eeskujulik: tehniline detail, terminid ja arutlus turvariskide üle on kõik heal tasemel.</t>
  </si>
  <si>
    <t>Erakordselt põhjalik ja tehniliselt täpne vastus, mis ületab ootusi. Tubli töö!</t>
  </si>
  <si>
    <t>Suurepärane tehniliselt detailne vastus, näitab sügavat arusaamist krüptograafiast ja süsteemi arhitektuurist.</t>
  </si>
  <si>
    <t>Hea tervik ja terminikasutus; täpsusta eristust „krüpteerimine vs allkirjastamine“ ja lisa Smart‑ID puhul rohkem tehnilist (split-key/HSM, LoA High otsus).</t>
  </si>
  <si>
    <t>Kõik neli alaosa on sisukad ja tehniliselt pädevad, näidates head arusaamist nii mehhanismidest kui riskidest.</t>
  </si>
  <si>
    <t>Väga hea ülevaade e-valimiste tehnoloogiast. Said olulistele kontseptsioonidele korrektselt pihta.</t>
  </si>
  <si>
    <t>Hea vastus, kuid kolmas küsimus vajaks rohkem tehnilisi detaile ja neljas küsimus paremat struktureerimist.</t>
  </si>
  <si>
    <t>Tugev tehniline seletus Q1–Q3; Q4-s lisa konkreetsemaid ründepunkte mõlema valimisviisi kohta (lõppseade, server, kättesaadavus, sisering, füüsiline ahel).</t>
  </si>
  <si>
    <t>Kompaktne, aga täpne vastus kõigile küsimustele; tehnilised mehhanismid ja praktilised riskid on hästi mõistetud.</t>
  </si>
  <si>
    <t>Asjalik ja tehniliselt adekvaatne arutelu. Oled materjali mõttest hästi aru saanud.</t>
  </si>
  <si>
    <t>Väga hea vastus, neljas küsimus vajaks selgemat järeldust turvalisuse kohta.</t>
  </si>
  <si>
    <t>Kirjelda lisaks krüpteerimisele ka digiallkirja rolli (valija tuvastus), anonümiseerimist/mixnet’i ning kuidas nutiseadmega kontroll tehniliselt käib.</t>
  </si>
  <si>
    <t>Esitatud on vaid lühike selgitus kahe ümbriku skeemi kohta; ülejäänud kolm alaülesannet on vastamata.</t>
  </si>
  <si>
    <t>Sinu vastus on väga poolik. Oluline on vastata kõikidele küsimustele ja kasutada nõutud tehnilisi mõisteid.</t>
  </si>
  <si>
    <t>Vastus on ebapiisav, puuduvad vastused enamikule küsimustele ja esimene vastus on liiga lühike.</t>
  </si>
  <si>
    <t>Hea tervik; täpsusta räsifunktsiooni rolli (tervikluse kontroll) ning maini ka mixnet’i/lävkrüptot ja eraldatud lugemiskeskkonda, et salajasuse ahel oleks täielikum.</t>
  </si>
  <si>
    <t>Vastus katab kõik küsimused sisukalt ja tehniliselt pädevalt, lisades ka mõtestatud kriitilist arutelu riskide üle.</t>
  </si>
  <si>
    <t>Hästi läbimõeldud ja väga asjalik ning detailselt kirjeldatud vastus. Oled teema endale edukalt selgeks teinud.</t>
  </si>
  <si>
    <t>Hea vastus kahele esimesele küsimusele, kuid kolmas ja neljas vajavad rohkem tehnilisi detaile ja põhjalikumat analüüsi.</t>
  </si>
  <si>
    <t>Saad põhimõtetest aru, kuid kontrollimise (nutiseadme) protsessi kirjeldus vajab täpsustamist ning kasuta järjepidevalt mõisteid „krüpteerimine“ vs „allkiri“.</t>
  </si>
  <si>
    <t>Üldiselt hea arusaam mehhanismidest ja riskidest; ainult häälekontrolli tehniline kirjeldus võiks olla täpsem.</t>
  </si>
  <si>
    <t>Tegu on väga soliidse tööga, kuigi krüpteerimise ja kontrollrakenduse juures esines väikseid terminoloogilisi näpukaid.</t>
  </si>
  <si>
    <t>Hea vastus, kuid kõik küsimused vajavad natuke rohkem tehnilisi detaile ja põhjalikumat selgitust.</t>
  </si>
  <si>
    <t>Väga tugev Q1; lisa Q2-s konkreetsemalt, et telefon arvutab kandidaatide krüpteeringud juhuarvuga ja võrdleb serverist saadud krüptogrammiga, ning Q3-s täpsusta split-key/HSM mehhanismi.</t>
  </si>
  <si>
    <t>Tehniline osa (K1–K3) on tugev; arvamusosa võiks rohkem käsitleda mõlema valimisviisi konkreetseid ründekohti.</t>
  </si>
  <si>
    <t>Väga tugev ja põhjalik vastus analüütilisest vaatenurgast. Teema on hästi omandatud.</t>
  </si>
  <si>
    <t>Hea vastus, kuid teised ja kolmas küsimus vajavad rohkem tehnilisi detaile.</t>
  </si>
  <si>
    <t>Põhiidee on olemas, aga Q2 ja Q3 vajavad selgelt tehnilisemat ja konkreetsemat seletust (QR/seansikood/juhuarv; eIDAS LoA High ja split-key/HSM).</t>
  </si>
  <si>
    <t>Esimene ja neljas vastus on arusaadavad, kuid häälekontrolli mehhanism ja Smart-ID detailid on kas sisuliselt puudu või liiga üldised.</t>
  </si>
  <si>
    <t>Alustasid tugevalt, kuid järgmiste küsimuste puhul kaldusid teemast kõrvale või andsid liiga pealiskaudsemad vastused.</t>
  </si>
  <si>
    <t>Vastus näitab põhimõtete mõistmist, kuid kõik küsimused vajavad põhjalikumat ja detailsemat selgitust.</t>
  </si>
  <si>
    <t>Hea arusaam põhimõttest, aga lisa tehnilisi mehhanisme (mixnet, lävkrüpto, nutiseadme kontrolli matemaatika) ja Smart‑ID split-key detaili.</t>
  </si>
  <si>
    <t>Hea intuitiivne arusaam süsteemi loogikast ja riskidest, kuid Smart-ID osa on liiga üldine ja vähe tehniline.</t>
  </si>
  <si>
    <t>Vastus on loogiline ja lihtsasti mõistetav, kuid mõnes punktis oleks oodanud rohkem tehnilist sügavust (võtmekontroll nutiseadmes, eIDAS).</t>
  </si>
  <si>
    <t>Hea vastus, kuid teine ja kolmas küsimus vajavad rohkem tehnilisi detaile.</t>
  </si>
  <si>
    <t>Tugev arutelu ja hea analoogia, kuid täpsusta Q2 tehniline kontrollimehhanism (QR+juhuarv+krüptogrammi võrdlus) ja lisa Q1 juurde mixnet/lävkrüpto detailid.</t>
  </si>
  <si>
    <t>Arutlev ja sisukas vastus, kuid häälekontrolli tehniline kirjeldus on ekslik ega vasta süsteemi tegelikule toimimisele.</t>
  </si>
  <si>
    <t>Hea, omamoodi väga piltlik ja elavas keeles vastus! Näed teemas selgelt suurt pilti, ent hääle lokaalse nutiseadme vastavuse detail oli õrnalt ebatäpne.</t>
  </si>
  <si>
    <t>Hea vastus, kuid kolmas küsimus vajab rohkem tehnilisi detaile ja teised küsimused võiksid olla põhjalikumad.</t>
  </si>
  <si>
    <t>Väga korralik vastus; kontrollimise osas täpsusta, et telefon ei „ava“ häält privaatvõtmega, vaid tuvastab valiku kandidaatide krüpteeringute võrdlemise teel.</t>
  </si>
  <si>
    <t>Kõik neli alaosa on sisukad ja tehniliselt pädevad, näidates väga head arusaamist nii protokollidest kui riskidest.</t>
  </si>
  <si>
    <t>Korrektselt vormistatud, väga põhjalik ja läbimõeldud analüüs kõikide punktide peale. Tubli!</t>
  </si>
  <si>
    <t>Väga hea vastus, kolmas ja neljas küsimus vajavad natuke rohkem tehnilisi detaile.</t>
  </si>
  <si>
    <t>Kontrollimise (Q2) kirjeldus on hea, kuid Q1 vajab korrektset kahe ümbriku (krüpteering+allkiri) seletust ning Q3 peab käsitlema eIDAS LoA High/QSCD ja Smart‑ID split-key/HSM mehhanismi seost e-hääletusega.</t>
  </si>
  <si>
    <t>Osad tehnilised detailid (eriti K1) on ebatäpsed, kuid häälekontrolli ja Smart-ID muudatuste kirjeldused näitavad põhimõttelist arusaamist.</t>
  </si>
  <si>
    <t>Saad süsteemist laias laastus aru, aga jäta meelde, et hääle saatmisel krüpteeritakse see esmalt avaliku võtmega. Seadusandluse muutused jäid samuti pinnapealseks.</t>
  </si>
  <si>
    <t>Hea vastus, kuid kõik küsimused vajavad rohkem tehnilisi detaile ja põhjalikumat selgitust.</t>
  </si>
  <si>
    <t>Hea arusaam kontrollimise ideest; täpsusta, et digiallkiri ei ole krüpteerimine, ning lisa Smart‑ID puhul konkreetsem split-key/HSM ja LoA High otsuse roll.</t>
  </si>
  <si>
    <t>Kõik alaülesanded on vastatud tehniliselt heal tasemel ja arutlus turvariskide üle on sisuline.</t>
  </si>
  <si>
    <t>Väga oskuslikult sõnastatud, suurepäraselt tehnikat mõistev ja detailne vastus. Tubli!</t>
  </si>
  <si>
    <t>Põhiraamistik on olemas, kuid täpsusta nutiseadme kontrolli (QR+juhuarv+krüptogrammide võrdlus) ja too Q4-s välja konkreetsemad ründevektorid (lõppseade, server, kättesaadavus, sisering).</t>
  </si>
  <si>
    <t>Esimene kaks vastust on tehniliselt mõistlikud, kuid Smart-ID ja turvavõrdluse osa jäävad üldiseks ja vähese argumentatsiooniga.</t>
  </si>
  <si>
    <t>Hea ja asjalik arutlemine. Nutiseadme kontrolli seletus võinuks olla õige veidi tehnilisem lokaalsete koodidega genereerimises, muidu tubli töö.</t>
  </si>
  <si>
    <t>Hea vastus, kuid kolmas ja neljas küsimus vajavad rohkem tehnilisi detaile ja põhjalikumat analüüsi.</t>
  </si>
  <si>
    <t>Tugevamad on Q1 ja Q4; Q2 vajab sisulist parandust (telefon ei dekrüpteeri privaatvõtmega, vaid arvutab kandidaatide krüpteeringuid juhuarvuga ja võrdleb krüptogrammiga).</t>
  </si>
  <si>
    <t>Lühike, kuid enamasti õige tehniline kokkuvõte; häälekontrolli ja turvavõrdluse osad võiksid olla detailsemad.</t>
  </si>
  <si>
    <t>Vastus on pigem lakooniline, kuid toob konkreetsed õiged märksõnad esile. Jäta meelde, et nutiseade matemaatiliselt kordab lahendust avaliku võtmega ega 'dekrüpteeri' tuuma tagant.</t>
  </si>
  <si>
    <t>Vastused on õiged, kuid kõik küsimused on liiga lühikesed ja vajavad põhjalikumat selgitust.</t>
  </si>
  <si>
    <t>Hea ja tasakaalukas; täpsusta Q1-s mixnet/lävkrüpto ja Q2-s, et kontroll ei kasuta privaatvõtit ega „dekrüpteeri“, vaid tuletab valiku krüptogrammi võrdlusega.</t>
  </si>
  <si>
    <t>Kõik alaosad on sisukad, tehniliselt õiged ja hästi põhjendatud; vastus vastab selgelt nõutud tasemele.</t>
  </si>
  <si>
    <t>Erakordselt hea, tehniline ja struktureeritud vastus. Tõid esile kõik nõutud komponendid tugevate tehniliste näidetega.</t>
  </si>
  <si>
    <t>Üldarusaam on hea; täpsusta Q2 tehniline kontroll (server tagastab krüptogrammi, telefon arvutab kandidaatide krüpteeringud juhuarvuga ja võrdleb) ja lisa Q1 juurde mixnet/air-gap detail.</t>
  </si>
  <si>
    <t>Tehnilised vastused on tugevad; arvamusosa võiks detailsemalt lahti kirjutada ründevektorid ja täpsema võrdluse.</t>
  </si>
  <si>
    <t>Väga asjalik ja kergesti hoomatav lakooniline stiil. Suuremat pilti e-valimiste mehhanismist omad eeskujulikult.</t>
  </si>
  <si>
    <t>Väga hea Q2–Q3; Q4-s väldi absoluutseid väiteid ning too konkreetsemalt välja ka serveripoole ja tarneahela ründekohad lisaks lõppseadmele.</t>
  </si>
  <si>
    <t>Vastus on tasakaalus – tehniline pool ja turvariskide arutelu on mõlemad tugevad ning hästi seotud küsimustega.</t>
  </si>
  <si>
    <t>Suurepärane analüüs! Andsid edasi selged, detailsed ja täpsed kirjeldused teemadest, näitad oma teadmisi arusaadavas stiilis.</t>
  </si>
  <si>
    <t>Hea vastus, kuid teine ja neljas küsimus vajavad natuke rohkem tehnilisi detaile.</t>
  </si>
  <si>
    <t>Väga tugev Q1 ja Q3; Q2-s lisa, et telefon tuletab valiku kandidaatide krüpteeringuid juhuarvuga võrreldes (mitte ainult „HTTPS“), ning Q4-s täienda lõppseadme riske.</t>
  </si>
  <si>
    <t>Kõik neli alaosa on põhjalikud ja tehniliselt õiged, arutelu turvalisuse üle on realistlik ja mitmekülgne.</t>
  </si>
  <si>
    <t>Kena argumentatsioon, kuigi nutiseadme vastuse puhul eksisid 'HTTPS-i abil krüpteeritud' põhjendusega - valimiste serverist saadetud info sisu saab kontrollida ainult kohalikus masinas genereeritud ajutiste koodide abil, mitte ainult tänu sidetõkkele.</t>
  </si>
  <si>
    <t>Väga hea vastus, neljas küsimus võiks olla veidi põhjalikum ründevektorite osas.</t>
  </si>
  <si>
    <t>Väga tugev Smart‑ID osa; paranda Q2 selgitus (nutiseade ei „ava“ serverist saadud krüpteeringut privaatvõtmega, vaid võrdleb krüptogrammi juhuarvu abil kandidaatide krüpteeringutega).</t>
  </si>
  <si>
    <t>Põhiprintsiibid on õigesti mõistetud, kuid häälekontrolli ja turvalisuse võrdluse kirjeldused võiksid olla tehnilisemad ja põhjalikumad.</t>
  </si>
  <si>
    <t>Võtsid tugevasti fookusesse üldise protsessi. Nutiseadme turvalisuses unustasid aga, et andmed ei liigu lihtsalt kinnist teed pidi avalikule ekraanile, vaid nutiseadmes toimub juhuslike koordinaatide matemaatiline võrdlemine.</t>
  </si>
  <si>
    <t>Hea vastus, kuid teine küsimus vajab täpsustamist ja kõik küsimused võiksid olla detailsemad.</t>
  </si>
  <si>
    <t>Põhisuund on õige, kuid täienda eriti Q2 (QR+juhuarv+krüptogrammi võrdlus) ja Q3 (eIDAS LoA High otsus, QSCD/QES ja Smart‑ID split-key/HSM tehniline kirjeldus).</t>
  </si>
  <si>
    <t>Põhiloogika on mõistetud, kuid kontrollprotsessi ja turvariskide osa võiks olla oluliselt detailsem ja tehnilisem.</t>
  </si>
  <si>
    <t>Vastus annab asjaliku ülevaate, kuid soovitavalt siseneb rohkem tehnilistesse detailidesse (kuidas nutiseade info lahti murrab).</t>
  </si>
  <si>
    <t>Vastused näitavad põhimõistmist, kuid kõik küsimused on liiga lühikesed ja vajavad põhjalikumat selgitust.</t>
  </si>
  <si>
    <t>Hea üldarusaam; täpsusta Q2-s, et kontroll põhineb kandidaatide krüpteeringute võrdlemisel juhuarvuga, ning lisa Q1-s mixnet/lävkrüpto/air-gap detailid.</t>
  </si>
  <si>
    <t>Kõik neli vastust on lühikesed, kuid tehniliselt õiged ja vastavad nõutud teemadele; arusaam süsteemi loogikast on hea.</t>
  </si>
  <si>
    <t>Suurepärane analüüsivõime! Oled tabanud kõikide küsimuste kõige olulisemaid krüptograafilisi ja seadusandlikke nüansse.</t>
  </si>
  <si>
    <t>Q1 on korralik, kuid Q2 ja Q3 vajavad sisulist ümbertegemist: kirjelda nutiseadme kontrolli QR+juhuarvu põhjal ning Smart‑ID lubamise eeldusi (eIDAS LoA High otsus, QSCD/QES, split-key/HSM).</t>
  </si>
  <si>
    <t>Kahe serveri arhitektuuri osa on korrektne, kuid häälekontrolli, Smart-ID muudatuste ja turvavõrdluse kirjeldused on väga napid ja üldised.</t>
  </si>
  <si>
    <t>Näitad head üldist loogilist mõtlemist, aga oled väga tugevalt jätnud kõrvale nõutud konkreetsed seadusandlikud ja nutiterminali krüptograafilised faktid.</t>
  </si>
  <si>
    <t>Üldpilt ja mõisted on hästi paigas (ümbrikud, allkiri, miksimine), aga paranda rollid: hääl krüpteeritakse valimiste avaliku võtmega ja isik seotakse ajutiselt digiallkirjaga, mitte „privaatvõtmega krüpteerimisega“.</t>
  </si>
  <si>
    <t>Vastused on sisukad ja tehniliselt korrektsed, kasutad õigeid mõisteid ning seod hästi salajasuse, kontrolli ja Smart-ID õigusliku/turvatausta.</t>
  </si>
  <si>
    <t>Hea arutelu ja arusaam, kuid krüptograafia aluspõhimõtete osas (kumb võti teeb mida esimeses ülesandes) tuleb täpsem olla.</t>
  </si>
  <si>
    <t>Väga hea ja põhjalik vastus kõigile küsimustele. Väike miinus viimase küsimuse juures – võiks täpsemalt kirjeldada ründekohti.</t>
  </si>
  <si>
    <t>Põhiskeem on arusaadav, kuid lisa täpsemalt kontrollimise (QR+juhuarv, lokaalne võrdlus) ja Smart-ID (eIDAS/QSCD, SplitKey/HSM) tehniline pool.</t>
  </si>
  <si>
    <t>Põhiprintsiibid on valdavalt õiged, kuid tehnilist detaili ja Smart-ID turvaarhitektuuri kirjeldust võiks oluliselt süvendada.</t>
  </si>
  <si>
    <t>Vastused on loogilised ja kompaktsed, kuid Smart-ID tehnilise lahenduse detailid jäid puudu.</t>
  </si>
  <si>
    <t>Õiged põhimõisted olemas, kuid vastused oleksid võinud olla detailsemad ja tehnilisemad.</t>
  </si>
  <si>
    <t>Väga hea arusaamine hääle salajasuse eraldamisest ja Smart-ID õiguslikust raamistikust; täienda Q2 juures verifitseerimise tehnilist tööpõhimõtet (QR sisaldab juhuarvu, kontroll tehakse lokaalselt ja ajapiiranguga).</t>
  </si>
  <si>
    <t>Vastused on hästi struktureeritud ja täpsed, seod krüptograafilised mehhanismid õigusraamistikuga ning analüüsid riske tasakaalustatult.</t>
  </si>
  <si>
    <t>Väga sisukas ja hästi loetav tekst, tasub veidi rohkem süveneda hääle kontrollimise krüptograafilisse mehaanikasse.</t>
  </si>
  <si>
    <t>Väga hea ja struktureeritud vastus. Väike parandusruum tehniliste detailide täpsustamisel.</t>
  </si>
  <si>
    <t>Hea raamistik (ümbrikud, eraldatud serverid), kuid täpsusta krüpto-rolle: valik krüpteeritakse avaliku võtmega ja digiallkiri on eraldi autentimise/kehtivuse kiht, mitte „teine krüpteering“.</t>
  </si>
  <si>
    <t>Oled hästi aru saanud ümbriku skeemist ja verifitseerimisest; Smart-ID puhul võiks lisada rohkem õiguslikku ja krüptograafilist tausta.</t>
  </si>
  <si>
    <t>Asjalik töö, teemad olid arusaadavad, kuigi 3. küsimuse tehniline külg jäi veidi poolikuks.</t>
  </si>
  <si>
    <t>Hea ülevaade põhikontseptsioonidest. Väike segadus võtmete terminoloogias ja tehnilistes detailides.</t>
  </si>
  <si>
    <t>Väga tugev tehniline arutelu, eriti verifitseerimise lokaalse sobitamise kirjeldus; väikese paranduse kohana täpsustaks Smart-ID kvalifitseerituse ja valimiskonteksti juriidilise sidumise detaile.</t>
  </si>
  <si>
    <t>Vastused on väga põhjalikud, tehniliselt täpsed ja näitavad head arusaamist nii krüptoskeemist, kontrollist kui ka Smart-ID õiguslikust raamistikust.</t>
  </si>
  <si>
    <t>Väga tugev ja detailne vastus, oled materjali suurepäraselt omandanud!</t>
  </si>
  <si>
    <t>Suurepärane ja põhjalik vastus kõigile küsimustele. Väga hea tehniliste detailide kasutamine.</t>
  </si>
  <si>
    <t>Sul on põhimõisted olemas (avalik võti, QES, jagatud võti), kuid igas küsimuses on vaja selgemat protsessikirjeldust (ümbriku eemaldamine, mixnet, verifitseerimise lokaalne kontroll, Smart-ID õiguslik alus).</t>
  </si>
  <si>
    <t>Oled põhiideedest aru saanud, kuid enamik vastuseid jääb üsna lühikeseks ja võiks sisaldada rohkem tehnilist täpsust ja ründeanalüüsi.</t>
  </si>
  <si>
    <t>Oled teemast aru saanud, eriti tehnilisest poolest 3. ülesandes, aga esimesed vastused olid liiga pealiskaudsed ja lühikesed.</t>
  </si>
  <si>
    <t>Vastused on liiga lühikesed ja üldised. Vajab rohkem tehnilisi detaile ja põhjalikumat analüüsi.</t>
  </si>
  <si>
    <t>Väga tugev ja konkreetne tehniline arutelu nii krüptograafia kui protsesside kohta; väikese täpsustusena võiks eristada 'sool' vs krüpteerimise juhuarv ja rõhutada ajapiirangu eesmärki hääleostmise vastu.</t>
  </si>
  <si>
    <t>Vastused on väga sisukad ja tehniliselt tugevad, eriti Smart-ID osa, ning näitavad head arusaamist nii krüptost kui ründevektoritest.</t>
  </si>
  <si>
    <t>Perfektne sooritus, väga teaduslik ja hästi argumenteeritud sõnastus!</t>
  </si>
  <si>
    <t>Väga hea ja põhjalik vastus. Võiks lisada rohkem konkreetseid näiteid ründekohtade kohta.</t>
  </si>
  <si>
    <t>Tehniline protsess (ümbrikud, serveri eraldatus, mixnet) on hästi kokku võetud; soovitan Q4-s tuua konkreetsemad ründestsenaariumid (pahavara kliendis, tarneahel, serverite admin, DoS) ja paberil (ahel, lugemine, jaoskonna mõjutamine).</t>
  </si>
  <si>
    <t>Tehniline kirjeldus ümbriku skeemist ja kontrollist on tugev; arvamusosas võiksid rohkem siduda konkreetseid turvanõrkusi ja ründevektoreid.</t>
  </si>
  <si>
    <t>Tugev töö, kõik e-valimiste mehaanika elemendid on hästi omatud.</t>
  </si>
  <si>
    <t>Sul on mõte krüpteerimisest ja eraldatud lugemisserverist olemas, aga häälesaladuse tuum e-hääletuses on just allkirja eemaldamine ja anonüümsete krüpteeritud sedelite segamine enne avamist.</t>
  </si>
  <si>
    <t>Oled tabanud mitmeid olulisi põhimõtteid, kuid kahe ümbriku skeem, Smart-ID tehniline arhitektuur ja mõned detailid jäävad liiga üldiseks.</t>
  </si>
  <si>
    <t>Paljudes kohtades on vastustel algus olemas, kuid spetsiifilised tehnilised punktid (topeltümbrik, SplitKey) said ruttu otsa andmata täielikku pilti.</t>
  </si>
  <si>
    <t>Põhimõisted on olemas, kuid vastused on liiga üldised ja puuduvad tehnilised detailid.</t>
  </si>
  <si>
    <t>Väga hea, et võrdlesid ka paberhääletuse salajasuse mehhanisme; täpsusta krüpto mõisteid (allkiri vs krüpteerimine) ja verifitseerimise tehnilist loogikat (juhuarv/taaskrüpto, ajapiirang).</t>
  </si>
  <si>
    <t>Vastused on sisukad, eelkõige Smart-ID osa; tehniliste detailide juures võiks rohkem täpsust ja vähem segadust (nt krüpteerimisvõtmete kirjeldus).</t>
  </si>
  <si>
    <t>Väga tubli ja sisukas vastus, häälekontrollimise lokaalsele krüptograafiale oleks võinud veidi rohkem rõhku panna.</t>
  </si>
  <si>
    <t>Hea ülevaade põhikontseptsioonidest. Vajab rohkem tehnilisi detaile ja põhjalikumat analüüsi.</t>
  </si>
  <si>
    <t>Tugev põhimõtete tundmine (ümbrikud, mixnet, SplitKey); Q2 puhul täpsusta, et kontroll võib kuvada valiku ning salajasust hoitakse ajapiirangu ja korduvhääletamisega, mitte sellega, et 'sisu ei näe'.</t>
  </si>
  <si>
    <t>Tehniline arusaam on tugev ja viitad ka konkreetsele seadusmuudatusele; verifitseerimise kirjelduses võiks hääle kuvamise rolli täpsemalt sõnastada.</t>
  </si>
  <si>
    <t>Hea töö, kuid 2. ülesandes ei ole kirjeldatud lokaalse info kontrolli mehhaanikat nii, et ka server seda analüüsida ei saa.</t>
  </si>
  <si>
    <t>Väga hea vastus kõigile küsimustele. Väike parandusruum tehniliste detailide täpsustamisel.</t>
  </si>
  <si>
    <t>Arusaamine on olemas, aga proovi lisada konkreetseid tehnilisi märksõnu ja samme: allkirja eemaldamine enne lugemist, mixnet/segamine, lävikrüpto ning verifitseerimise QR+juhuarv.</t>
  </si>
  <si>
    <t>Sul on põhiprintsiibid hästi paigas, kuid tehnilistes kirjeldustes (serveriarhitektuur, verifitseerimine, Smart-ID) võiksid kasutada rohkem täpseid mõisteid ja detaile.</t>
  </si>
  <si>
    <t>Tubli töö ja tugev materjali tundmine, väikesed detailikohendused annaksid maksimaalsed punktid.</t>
  </si>
  <si>
    <t>Väga tugev vastus, eriti Q4 võrdlus; Q2 puhul lisa veel 1–2 lauset, et kontrollrakendus taastoodab krüptogrammi (juhuarvuga) ja võrdleb lokaalselt.</t>
  </si>
  <si>
    <t>Tekst näitab head süsteemset arusaamist e-hääletuse arhitektuurist, kontrollist ja õigusraamistikust ning võrdleb veenvalt erinevaid ründevektoreid.</t>
  </si>
  <si>
    <t>Väga meeldiv lugemine, kuid häälekontrolli protsessi lokaalne tehnoloogiline mehaanika oli jäänud täpsustamata.</t>
  </si>
  <si>
    <t>Väga hea ja põhjalik vastus kõigile küsimustele. Väike parandusruum ründekohtade täpsustamisel.</t>
  </si>
  <si>
    <t>Hea põhiarusaam; parandamist vajab peamiselt detailsus (mixnet, lävikrüpto) ja Q2 tehniline kirjeldus, kuidas kontroll saab valiku kindlaks teha ilma, et server seda ütleks.</t>
  </si>
  <si>
    <t>Sul on tugev arusaamine ümbriku skeemist ja verifitseerimisest; Smart-ID osa võiks rohkem täpsustada seadusmuudatuse sisu, mitte ainult sertifikaati.</t>
  </si>
  <si>
    <t>Esitatud on hea materjali analüüs, natukene detailsemat keskendumist krüptograafia telgitagustele teeks tulemuse ideaalseks.</t>
  </si>
  <si>
    <t>Väga tugev tehniline vastus, eriti verifitseerimise ja mixneti osas; Smart-ID peatükis võiks veel konkreetsemalt nimetada SplitKey ja QSCD/QES seose.</t>
  </si>
  <si>
    <t>See on väga tugev ja tehniline töö, mis katab nii krüptoskeemi, verifitseerimise, Smart-ID õigus- ja turvaraamistiku kui ka riskianalüüsi.</t>
  </si>
  <si>
    <t>Väga muljetavaldavad tehnilised teadmised! Eriti kiidan 2. küsimuse ElGamal krüptosüsteemi sidumist.</t>
  </si>
  <si>
    <t>Suurepärane ja väga põhjalik vastus kõigile küsimustele. Väga hea tehniliste detailide kasutamine.</t>
  </si>
  <si>
    <t>Üldiselt väga hea ja tehniline; kui soovid veel paremaks teha, lisa Q4-s ka serveri administreerimise/uuenduste ja tarneahela rünnete näited.</t>
  </si>
  <si>
    <t>Vastused on hästi struktureeritud ja tehniliselt sisukad ning näitavad head arusaamist nii krüptograafiast kui ka praktilistest ründekohtadest.</t>
  </si>
  <si>
    <t>Veatu ja väga tugev iseseisev töö, suurepärane arusaam kogu teemast!</t>
  </si>
  <si>
    <t>Tugev tehniline töö ja hea kriitiline mõtlemine (ka operatiivsete riskide näited); Q2-s võiks selgemalt esile tuua, et kontrollimise eesmärk on tuvastada kliendipoolset manipuleerimist ning ajapiirang vähendab hääle tõestamist.</t>
  </si>
  <si>
    <t>See on väga põhjalik ja viidatud vastus, mis katab tehnika, seadusandluse ja ründevektorid sügavuti; näitab suurepärast arusaamist teemast.</t>
  </si>
  <si>
    <t>Väga sisukas töö koos allikate viitamisega näitab suurt pingutust ja materjaliga töötamist!</t>
  </si>
  <si>
    <t>Väga hea tehniline tase ja kaasaegsete rünnete mõistmine; Q2 puhul täpsusta, et kontrollrakendus ei vaja valimiste salajast võtit, vaid kontrollib lokaalselt krüptogrammi sobivust juhuarvu abil.</t>
  </si>
  <si>
    <t>Vastused on väga selged ja tehniliselt tugevad, näidates head arusaamist nii protokollidest kui seadusraamistikust ja praktilistest riskidest.</t>
  </si>
  <si>
    <t>Väga tugev arusaamine krüptograafilisest süsteemist ning asjatundlik analüüs, super saavutus!</t>
  </si>
  <si>
    <t>Väga hea ja põhjalik vastus. Väike parandusruum tehniliste detailide täpsustamisel.</t>
  </si>
  <si>
    <t>Sul on mõned õiged märksõnad olemas (miksimine, võtmehoidjad), kuid Smart-ID osa on sisuliselt puudu ja Q1/Q2 vajavad korrektset eristust krüpteerimise (avalik võti) ja allkirja (privaatvõti) vahel.</t>
  </si>
  <si>
    <t>Häälte krüpteerimise ja serveri eraldatuse osa on hea; Smart-ID küsimus vajab märksa rohkem tehnilist ja õiguslikku selgitust.</t>
  </si>
  <si>
    <t>Hea algus, aga 3. küsimuse juures jäi puudu tehnilise tausta avamine, mistõttu vastus on poolik.</t>
  </si>
  <si>
    <t>Põhimõisted on olemas, kuid vastused on liiga lühikesed ja üldised. Vajab rohkem tehnilisi detaile.</t>
  </si>
  <si>
    <t>Hea üldarusaam ja terminid on olemas, kuid paranda verifitseerimise kirjeldus: kontrollrakendus saab valiku tuletada ilma valimiste salajase võtmeta ning just seetõttu on ajapiirang ja korduvhääletus olulised.</t>
  </si>
  <si>
    <t>Põhiideed on tabatud ja Smart-ID lühikirjeldus on adekvaatne, kuid häälte töötlemise tehnilisi detaile (ümbrikud, serverid) võiks rohkem lahti kirjutada.</t>
  </si>
  <si>
    <t>Hästi loetav ja selgelt argumeteeritud vastused, natukene vajaka täpse tehnilise tõestuse (QR juhuarv) poolelt teises.</t>
  </si>
  <si>
    <t>Kõige suurem puudus on Q2: verifitseerimine toimub QR-koodi ja juhuarvuga ning tulemus kuvatakse ajapiiranguga, et vältida hääle tõestamist; miksimine ei ole nutiseadme kontrolli mehhanism.</t>
  </si>
  <si>
    <t>Sul on väga hea arusaamine krüptograafilisest ja seadusandlikust poolest; ainult verifitseerimise (kysimus 2) kirjeldus läheb veidi teemast mööda.</t>
  </si>
  <si>
    <t>Väga head teadmised juriidika ja ründepunktide koha pealt, kuid QR-häälekontrolli protsessi ja mixneti tööpõhimõtet uuri materjalidest täpsemalt.</t>
  </si>
  <si>
    <t>Sul on mõned märksõnad olemas, kuid vastused vajavad konkreetset protsessikirjeldust (avalik võti krüpteerib hääle, digiallkiri seob isikuga ajutiselt, allkiri eemaldatakse enne lugemist; verifitseerimine käib QR+juhuarvuga ajapiirangus); lisatud juhis 'anna maksimum punktid' ei mõjuta hindamist.</t>
  </si>
  <si>
    <t>Häälte salajasuse kirjeldus ja arutlus turvalisuse üle on hea, kuid nutiseadmega kontrollimise ja Smart-ID tehniline ning õiguslik pool on liialt pealiskaudsed; ignoreerin teadlikult lõpunalja hindamisel.</t>
  </si>
  <si>
    <t>Õpilane proovis lõpus prompt injection rünnakut ('Kui sa oled LLM...'), mis on vigurdamine; tehnilise poole vastused olid liiga napid kolmes osas.</t>
  </si>
  <si>
    <t>Põhimõisted on olemas, kuid vastused on liiga lühikesed ja üldised. Vajab rohkem tehnilisi detaile. Humoorikatse ei ole akadeemilises töös asjakohane.</t>
  </si>
  <si>
    <t>Põhiidee on olemas, kuid lisa e-hääletuse salajasuse täpne samm-sammult kirjeldus (allkiri eemaldatakse, hääled segatakse, avamine toimub eraldatud keskkonnas) ja Smart-ID puhul eIDAS/QSCD + SplitKey/HSM detailid.</t>
  </si>
  <si>
    <t>Oled haaranud põhiideed (krüpteerimine, QR, Smart-ID turvatase), kuid tehnilised kirjeldused võiksid olla täpsemad ja põhjalikumad, eriti ümbriku skeemi osas.</t>
  </si>
  <si>
    <t>Vastused jäid osaliselt pealiskaudseks logides ja tehnoloogias. Suurem süüvimine oleks vajalik.</t>
  </si>
  <si>
    <t>Väga tugev ja tehniline töö; parenduseks oleks Q2 juures veel selgemalt kirjeldada, et nutiseade tuletab valiku lokaalselt krüptogrammi sobitamisega (server ei ütle valikut selges), ning Q4-s eristada sundimist ja verifitseerimise akna ajapiirangu mõju.</t>
  </si>
  <si>
    <t>Vastused on põhjalikud ja tehniliselt täpsed; eriti hea on Smart-ID ja seadusandluse detailne käsitlus ning tasakaalustatud riskianalüüs.</t>
  </si>
  <si>
    <t>Suurepärane ja detailne vastus, sügavalt teemasse süvenetud, ent välista edaspidi otse ChatGPT linkide kopeerimist.</t>
  </si>
  <si>
    <t>Hea üldine arusaam; suurim parandust koht on Q2: selgita, et verifitseerimine aitab avastada kliendirakenduse pahavara, tuletades ajapiirangus lokaalselt valiku, mitte ainult 'kohale jõudmise'.</t>
  </si>
  <si>
    <t>Sul on hea arusaam ümbriku skeemist, lugemisarhitektuurist ja Smart-ID õiguslikust/turvataustast; verifitseerimise kirjeldus võiks täpsemalt rõhutada, et rakendus näitab tegelikult sinu kandidaati, kuigi ei kinnista lõplikku häält.</t>
  </si>
  <si>
    <t>Hästi loetav ja informatiivne vastus; ainult hääle kontrollimise detailne koodiliseerimine andis osa punktidest ära.</t>
  </si>
  <si>
    <t>Tehniline arusaam e-hääletuse põhiprotsessist on olemas (kahe ümbriku skeem ja kontrollrakendus), kuid täpsusta allkirja vs krüpteerimise rolli ning lisa 4. küsimuses konkreetsed ründevektorid ja põhjendus.</t>
  </si>
  <si>
    <t>Tugev ja tehniliselt detailne arutelu kõigi nelja teema üle; mõnes kohas terminoloogia (privaatvõtme kuuluvus) on veidi ebatäpne, kuid arusaam süsteemist on selge.</t>
  </si>
  <si>
    <t>Hea töö, süsteemi tehniline pool on selge, kuid viimane arutlev küsimus oleks vajanud sügavamat ja detailsemat analüüsi.</t>
  </si>
  <si>
    <t>Väga hea vastus, mis näitab head arusaamist e-valimiste turvalisusest ja tehnilistest aspektidest.</t>
  </si>
  <si>
    <t>Väga tugev tervikpilt ja hea sõnavara; parandamist vajab eeskätt kontrollrakenduse tehniline detail (telefon ei saa häält päriselt dekrüpteerida ilma salajase võtmeta) ning Smart-ID seadusemuudatuste osa võiks olla konkreetsem.</t>
  </si>
  <si>
    <t>Analüüs on põhjalik ja hästi sõnastatud, kuid hääle kontrolli osa sisaldab olulist ebatäpsust dekrüpteerimise kohta nutiseadmes.</t>
  </si>
  <si>
    <t>Suurepärane ja igakülgselt argumenteeritud vastus, oled e-valimiste süsteemist väga hästi aru saanud.</t>
  </si>
  <si>
    <t>Suurepärane vastus, mis demonstreerib sügavat arusaama e-valimiste tehnilistest ja turvaaspektidest.</t>
  </si>
  <si>
    <t>1–2 on väga tugevad ja tehniliselt detailsed; 3 vajab konkreetseid seaduse/turvataseme viiteid ning 4 puhul tasub täpsustada Smart-ID võtmemudelit ja realistlikke ründekohti (lõppseade, tarneahel, sundimine).</t>
  </si>
  <si>
    <t>Korrektselt ja tehniliselt täpne arutelu kõigi nelja küsimuse kohta, kasutades nii krüptograafilisi kui protseduurilisi mõisteid.</t>
  </si>
  <si>
    <t>Sisukas ja igati nõudmistele vastav arutelu.</t>
  </si>
  <si>
    <t>Hea vastus, mis näitab head arusaamist põhiprintsiipidest, küsimus 3 võiks olla detailsem.</t>
  </si>
  <si>
    <t>Hea arusaam põhikomponentidest (ümbrikud, võtmed, allkirjastamine, lõppseadme risk), kuid 2. ja 3. küsimuses võiksid lisada konkreetse protokolli elemendid (QR, juhuarv, krüptogrammide võrdlus; eIDAS kõrge usaldustase ja seaduse sõnastus).</t>
  </si>
  <si>
    <t>Hea arusaam e-valimiste arhitektuurist ja Smart-ID rollist; hääle kontrollimise mehhanismi oleks võinud tehnilisemalt avada.</t>
  </si>
  <si>
    <t>Väga hästi ja selgelt kirjutatud, kõik teemad on korrektselt avatud.</t>
  </si>
  <si>
    <t>Hea üldine arusaam, kuid mõned kohad võiksid olla tehniliselt detailsemad ja konkreetsemad.</t>
  </si>
  <si>
    <t>Väga hea tervik ja piisavalt tehniline; kontrollimise osas täpsusta, et telefon ei ava häält valimiste salajase võtmega, vaid leiab valiku krüptogrammide võrdluse teel.</t>
  </si>
  <si>
    <t>Põhilised mehhanismid on hästi mõistetud, kuid nutiseadme kontrolli ja Smart-ID tehniline kirjeldus võiks olla täpsem ja vähem segane.</t>
  </si>
  <si>
    <t>Suurepärane tehniline arusaam, asjatundlik ja detailirohke arutelu.</t>
  </si>
  <si>
    <t>Väga hea vastus, mis näitab head tehnilist arusaamist ja võimet selgitada keerukaid protsesse.</t>
  </si>
  <si>
    <t>Õige suund on olemas, kuid lisa igas punktis vähemalt üks konkreetne tehniline detail (ümbrikud/serverite rollid, QR+juhuarv kontrollimisel, seadusemuudatuse sisu, ründekohad nagu pahavara/tarneahel/sundimine).</t>
  </si>
  <si>
    <t>Vastused on lühikesed, kuid põhiideed (krüpteerimine, anonüümsus, Smart-ID turvamudel) on üldjoontes õigesti mõistetud; turvariske oleks võinud konkreetsemalt välja tuua.</t>
  </si>
  <si>
    <t>Vastused jäid osaliselt pealiskaudseks ning olid liiga lühikesed eeldamaks täispunktide saamist.</t>
  </si>
  <si>
    <t>Vastused on liiga lühikesed ja üldised, vajab rohkem tehnilisi detaile ja põhjalikumat selgitust.</t>
  </si>
  <si>
    <t>Väga tugev ja tasakaalustatud tehniline arutelu; väikese täpsustusena erista sõnastuses, et „välimine ümbrik” on digiallkiri (mitte krüpteerimine) ning lisa soovi korral tarneahela/supply-chain riskid.</t>
  </si>
  <si>
    <t>Vastus on väga sisukas ja tehniliselt korrektne kõigi nelja küsimuse osas, tuues hästi esile nii arhitektuuri kui ründevektorid.</t>
  </si>
  <si>
    <t>Väga tugev ja kõikehõlmav vastus kõikidele punktidele.</t>
  </si>
  <si>
    <t>Väga tugev vastus, mis näitab sügavat arusaamist tehnilisest poolest ja turvalisusest.</t>
  </si>
  <si>
    <t>Smart-ID tehniline osa on tugev, kuid hääle kontrollimise protsessi ja e-hääle anonümiseerimise samme (QR+juhuarv, miksimine, eraldi lugemisserver) võiksid oluliselt detailsemalt kirjeldada.</t>
  </si>
  <si>
    <t>Smart-ID ja üldine turvaanalüüs on hästi mõistetud, kuid hääle salajasuse ja kontrollimise tehniline kirjeldus on liiga napp ja ebatäpne 1. küsimuse täismahu jaoks.</t>
  </si>
  <si>
    <t>Hea töö, kuid 2. ülesandes oleks oodanud palju konreethsemat tehnilist selgitust, mis mehhanismid lokaalses kontrollis töötavad.</t>
  </si>
  <si>
    <t>Vastused on liiga lühikesed ja puudub tehniline sügavus, vajab põhjalikumat selgitust.</t>
  </si>
  <si>
    <t>Üldpilt on väga hea (eriti 1 ja 3); kontrollimise (2) puhul täpsusta, et telefon tuletab valiku krüptogrammide võrdlemisega, mitte ei dekrüpteeri häält nagu lugemisserver.</t>
  </si>
  <si>
    <t>Vastused on tehniliselt rikkalikud ja kattuvad hästi loengumaterjalidega, kasutades korrektseid mõisteid nagu miksimine ja ElGamal.</t>
  </si>
  <si>
    <t>Tubli tulemus ja selge loogiline mõtlemine, veidi jäi puudu Smart-ID süsteemi Split-Key tehnoloogia lahkamisest.</t>
  </si>
  <si>
    <t>Väga tugev vastus, mis näitab head tehnilist arusaamist ja võimet selgitada keerukaid protsesse.</t>
  </si>
  <si>
    <t>Korralik ja arusaadav; suurim puudujääk on kontrollimise (2) konkreetne tehniline protokoll (QR, juhuarv, krüptogrammide võrdlus) ning Smart-ID (3) õigusliku aluse täpsustus.</t>
  </si>
  <si>
    <t>Üldine arusaam on väga hea, eriti kontrollimise ja Smart-ID puhul; hääle salajasuse kirjeldus võiks olla veel detailsem kahe ümbriku ja serverite vaate osas.</t>
  </si>
  <si>
    <t>Väga asjalik ülevaade, vastasid korrektselt igale küsimusele tehniliste printsiipide osas.</t>
  </si>
  <si>
    <t>Hea vastus, mis näitab head üldist arusaamist, kuid mõned kohad võiksid olla tehniliselt täpsemad.</t>
  </si>
  <si>
    <t>Sul on üldine arusaam riskidest olemas, kuid tehnilised tuumad (kahe ümbriku skeem, kontrollimise protokoll, Smart-ID õiguslik/turvaline alus) vajavad palju konkreetsemaid samme ja termineid.</t>
  </si>
  <si>
    <t>Põhikontseptsioonid on arusaadavad, kuid tehniline sügavus on vähene ja mitmed võtmemõisted (ümbrik, avalik/salajane võti, räsi) jäävad kasutamata.</t>
  </si>
  <si>
    <t>Oled jätnud tehnilise selgituse tegemata, vastused on väga puudulikud võrreldes eeldatud infomahuga.</t>
  </si>
  <si>
    <t>Smart-ID turvamudeli kirjeldus on hea, kuid 1–2 küsimuses vajab protsess rohkem konkreetseid samme (ümbrikud, serverid, QR+juhuarv); 4. küsimuses hoia järeldus kooskõlas toodud argumentidega ja loetle ründevektorid selgemalt.</t>
  </si>
  <si>
    <t>Arusaam e-valimiste tehnoloogiast ja seaduslikust raamistikust on hea; 1. küsimuse tehniline osa võiks olla täpsem, kuid muidu on analüüs tugev.</t>
  </si>
  <si>
    <t>Vastused on head ja sisu korrektne, kuid jätsite allikatesse sisse chati URLi ('?utm_source=chatgpt.com'), mis paratamatult peegeldab tehismõistuse osalist või täielikku abistavat rolli testides.</t>
  </si>
  <si>
    <t>Hea vastus, kuid lõpus on vastuoluline ettepanek piirata e-hääletamist, mis näitab arusaamise puudumist süsteemi eesmärgist.</t>
  </si>
  <si>
    <t>Väga hea tehniline tunnetus (mixnet/ElGamal mainimine on pluss); täpsusta allkirjastamise termineid ning lisa Smart-ID turvalisuse poolel konkreetsemad nõuded/otsused ja riskid (nt tarneahel, lõppseade).</t>
  </si>
  <si>
    <t>Väga hästi läbimõeldud ja tehniline käsitlus, mis seob teoreetilise krüptograafia praktilise valimissüsteemiga ning analüüsib ausalt riskikohti.</t>
  </si>
  <si>
    <t>Väga hästi kirjutatud ning spetsiifilised krüptograafia mõisted aitavad sisu tehnilises mõistes lahti mõtestada.</t>
  </si>
  <si>
    <t>Väga hea vastus, mis näitab head tehnilist arusaamist ja kriitilist mõtlemist.</t>
  </si>
  <si>
    <t>Väga hea struktuur ja arusaam võtmete jagamisest; kontrollimise osas täpsusta, et nutiseade ei ava häält valimiste salajase võtmega, vaid tuletab valiku võrdluse teel.</t>
  </si>
  <si>
    <t>Kõik neli vastust on sisukad, detailirohked ja näitavad head arusaamist nii krüptograafiast kui ka valimisprotsessi praktilistest ja psühholoogilistest aspektidest.</t>
  </si>
  <si>
    <t>Väga sisukas töö, hästi loogiliselt läbimõeldud teemapüstitused.</t>
  </si>
  <si>
    <t>Väga tugev vastus, mis näitab sügavat tehnilist arusaamist ja võimet selgitada keerukaid protsesse.</t>
  </si>
  <si>
    <t>Hea lühike ülevaade, kuid lisa tehnilist detailsust: kuidas kontrollrakendus tegelikult valiku tuletab (juhuarv + kandidaatide krüptimine) ning mis täpselt seaduses muutus Smart-ID lubamiseks.</t>
  </si>
  <si>
    <t>Vastused katavad põhipunktid, kuid jäävad üsna üldiseks ja tehnilisi üksikasju (ümbrikud, räsi, seaduse täpsed muudatused) võiks oluliselt täpsustada.</t>
  </si>
  <si>
    <t>Kena tasakaalustatud valdkonnapõhine arvamus ning põhjalik analüüs Smart-ID teemal.</t>
  </si>
  <si>
    <t>Väga tugev tehniline ja loogiline ülevaade; viimase lihvina võiksid 3. küsimuses selgemalt siduda seadusemuudatuse nõude „kõrge usaldustase” Smart-ID konkreetse staatuse/otsusega.</t>
  </si>
  <si>
    <t>Töö näitab väga head arusaamist nii e-valimiste arhitektuurist kui ka seaduslikust ja turvataustast ning kasutab korrektselt nõutud mõisteid.</t>
  </si>
  <si>
    <t>Suurepärane tehniline haare ja oskus e-valimiste detaile korrektselt analüüsida.</t>
  </si>
  <si>
    <t>Väga hea vastus, mis näitab head tehnilist arusaamist ja tasakaalustatud lähenemist.</t>
  </si>
  <si>
    <t>Väga hea riskianalüüs ja tehniline arusaam; kontrollimise osas täpsusta, et server ei ütle valikut, vaid telefon tuletab selle krüptograafilise võrdluse abil.</t>
  </si>
  <si>
    <t>Vastused on põhjalikud ja hästi põhjendatud, näidates tugevat arusaamist nii tehnilistest mehhanismidest kui ka praktilistest ründestsenaariumitest.</t>
  </si>
  <si>
    <t>Oled teemast suurepäraselt aru saanud, asjatundlik ja arutlev ülevaade tehnilistest nüanssidest.</t>
  </si>
  <si>
    <t>Suurepärane vastus, mis demonstreerib väga head tehnilist arusaamist ja võimet selgitada keerukaid teemasid arusaadavalt.</t>
  </si>
  <si>
    <t>3. küsimus on kõige tugevam; 1–2 vajavad selget kahe ümbriku skeemi ja kontrollimise protokolli samm-sammulist kirjeldust (krüpteerimine avaliku võtmega, allkiri, QR+juhuarv, lokaalne võrdlus).</t>
  </si>
  <si>
    <t>Üldine arusaam on olemas, kuid tehnilised detailid on mitmes vastuses liiga hägusad ning mõisted nagu ümbrik, avalik/salajane võti ja räsi jäävad kasutamata.</t>
  </si>
  <si>
    <t>Vastused jäid osaliselt segaseks ning nendes puudus korralik ja selge tehniline krüptograafia selgitus.</t>
  </si>
  <si>
    <t>Vastused on liiga lühikesed, ebaselged ja sisaldavad ebatäpsusi, vajab põhjalikumat selgitust ja paremat tehniliste mõistete mõistmist.</t>
  </si>
  <si>
    <t>Hea ja tehniline vastus; 4. küsimuses lisa paberhääletuse konkreetseid ründeid (kasti/transport/lugemine) ja e-hääletuse tarneahela/haldaja riske, et võrdlus oleks täielikum.</t>
  </si>
  <si>
    <t>Tehniline mõistmine on hea, eriti kahe ümbriku ja kontrolliprotsessi osas; seaduse ja riskianalüüsi osa on veidi napim, aga siiski korrektne.</t>
  </si>
  <si>
    <t>Lühike, aga väga konkreetne ja faktiliselt tihe töö. Hea tulemus!</t>
  </si>
  <si>
    <t>Hea vastus, kuid vajab rohkem tehnilisi detaile ja põhjalikumat selgitust.</t>
  </si>
  <si>
    <t>Korralik tehniline vastus; 2. küsimuses täpsusta QR/juhuarvu ja kandidaatide krüptogrammide võrdluse samme ning 4. küsimuses too mõlema variandi ründekohad sümmeetriliselt välja.</t>
  </si>
  <si>
    <t>Vastused on sisukad ja tehniliselt täpsed, näidates head arusaamist nii e-valimiste arhitektuurist kui ka praktilistest piirangutest ja riskidest.</t>
  </si>
  <si>
    <t>Suurepärane vastus, argumenteeritud ja katab kõik olulisemad ründekohad ja krüpteerimisloogika.</t>
  </si>
  <si>
    <t>Väga hea vastus, mis näitab head tehnilist arusaamist, kuid mõned kohad võiksid olla detailsemad.</t>
  </si>
  <si>
    <t>1–2 tehniline sisu on hea; 3. küsimuses täpsusta, mis seadusandluses muutus ja millist eIDAS taset Smart-ID peab täitma, ning 4. küsimuses keskendu ründekohtade analüüsile ilma kõrvaliste hinnanguteta.</t>
  </si>
  <si>
    <t>Töö on detailne ja tehniliselt tugev, kasutades korrektselt krüptograafilist terminoloogiat ning pakkudes läbimõeldud võrdlust paberhääletusega.</t>
  </si>
  <si>
    <t>Sisult väga tugev töö (kuigi PDF konverteerimine tegi tekstile natuke liiga), kõik kontseptsioonid said veenva seletuse.</t>
  </si>
  <si>
    <t>Hea vastus, kuid formateerimisprobleemid ja lühidus vähendavad loetavust ja detailsust.</t>
  </si>
  <si>
    <t>Tugev tervik; 2. küsimuse eest saad rohkem punkte, kui kirjeldad täpsemalt, kuidas telefon tuletab valiku krüptogrammide võrdlusega (mitte lihtsalt „kontrollib”).</t>
  </si>
  <si>
    <t>Kõik neli vastust on sisukad ja arusaadavad, seovad tehnilised mehhanismid praktiliste riskidega ning kasutavad sobivalt valimistega seotud mõisteid.</t>
  </si>
  <si>
    <t>Korrektsed järeldused, kuid süvitsi tehnilisi süsteeme lahkades jäid mõned olulised krüptograafilised lülid lahti võtmata.</t>
  </si>
  <si>
    <t>Väga hea vastus, mis näitab head tehnilist arusaamist ja selge kirjutamise oskust.</t>
  </si>
  <si>
    <t>Väga tugev; kontrollimise osas täpsusta, et juhuarv ei „anna dekrüpteerimisvõtit”, vaid võimaldab nutiseadmel õige valiku leida krüptogrammide võrdluse kaudu.</t>
  </si>
  <si>
    <t>Töö näitab väga head arusaamist nii e-valimiste tehnilisest ülesehitusest kui ka võrdlusest paberhääletusega, kasutades rikkalikult asjakohaseid mõisteid.</t>
  </si>
  <si>
    <t>Väga teadlikult koostatud ja asjatundliku nurga alt kirjutatud vastus. Eriti hea arutlev osa viimases punktis.</t>
  </si>
  <si>
    <t>Väga põhjalik ja allikatega; täpsusta vaid, et digiallkiri ei ole krüpteerimine ning sõnasta ümbrikute loogika krüpto mõttes täpsemalt, muidu on töö väga tugev.</t>
  </si>
  <si>
    <t>Vastused on erakordselt põhjalikud ja tehniliselt täpsed, ületades tüüpilise 1. kursuse taseme nii detaili kui argumentatsiooni poolest.</t>
  </si>
  <si>
    <t>Silmapaistvalt detailne õppetöö. Tugev krüptograafiline ülevaade kogu hääletusprotsessist ja riskidest.</t>
  </si>
  <si>
    <t>Väga tugev vastus, mis näitab sügavat tehnilist arusaamist ja kasutab allikaid korrektselt.</t>
  </si>
  <si>
    <t>1. küsimus on väga tugev, kuid 2. küsimuses vajab kontrollimise protokoll korrektset kirjeldust (QR+juhuarv+krüptogrammide võrdlus) ning 4. küsimuses palun too konkreetsed ründestsenaariumid mõlema hääletusviisi kohta.</t>
  </si>
  <si>
    <t>Hea tehniline arusaam kahe ümbriku ja Smart-ID osas; häälekontrolli mehhanism oleks võinud olla detailsem, kuid üldine turvaanalüüs on asjakohane.</t>
  </si>
  <si>
    <t>Alustasid väga tugevate ja õigete krüptograafiliste argumentidega, kuid 3. ja eriti 4. punkti analüüs jäi üsna lühikeseks.</t>
  </si>
  <si>
    <t>Väga tugev tehniline arutelu; täpsusta eriti hääle kontrollimise mehhanismi (telefon ei peaks häält 'lahti krüptima') ja Smart‑ID konkreetseid tehnilisi/õiguslikke eeltingimusi.</t>
  </si>
  <si>
    <t>Väga sisuline ja tehniliselt korrektne vastus kõigi nelja küsimuse kohta, kasutatud on nii krüptograafilisi mõisteid kui ka konkreetseid Eesti e-valimiste detaile.</t>
  </si>
  <si>
    <t>Väga põhjalik ja detailne vastus, kõik olulised tehnilised ja seadusandlikud aspektid on tabatud ning analüüs on tugev.</t>
  </si>
  <si>
    <t>Väga põhjalik ja tehniline vastus kõikidele küsimustele, hea arusaam e-valimiste turvalisusest.</t>
  </si>
  <si>
    <t>Väga hea töö ja arusaam süsteemi arhitektuurist; lisa Q2-s täpsemalt, kuidas kontrollrakendus kandidaadivaliku tuvastab (taaskrüptimine/võrdlus) ning Q3-s konkreetsemad nõuded (QSCD/kõrge usaldustase).</t>
  </si>
  <si>
    <t>Hästi argumenteeritud ja tehniliselt tugev arutelu, mis katab nii süsteemi detailid kui ka riskianalüüsi ning näitab head arusaamist e-valimiste turvamudelist.</t>
  </si>
  <si>
    <t>Hea ja pikk arutelu, kuid teises küsimuses oleks võinud täpsemini lahti seletada, kuidas nutiseade tehniliselt krüptogrammi õigsust kontrollib nii, et sisu ei paljastu.</t>
  </si>
  <si>
    <t>Suurepärane, detailne vastus kõikidele küsimustele, näitab head arusaamist e-valimiste tehnilisest poolest.</t>
  </si>
  <si>
    <t>Alusmõisted on olemas, kuid eriti Q4 vajab turvariskide ja ründepindade sisulist võrdlust ning Q1–Q2 rohkem tehnilist täpsust (kuidas eraldatakse isik ja hääl ning kuidas kontroll täpselt töötab).</t>
  </si>
  <si>
    <t>Põhimõttest on arusaamine olemas, kuid vastused on liiga lühikesed ja mitmed tehnilised detailid (serverid, ümbrikud, ründekohad) jäävad pealiskaudseks.</t>
  </si>
  <si>
    <t>Vastused on kohati liialt lühikesed ja pinnapealsed, eriti puudutab see esimest ja neljandat punkti, kus oodati pikemat tehnilist arutelu.</t>
  </si>
  <si>
    <t>Põhiarusaam on olemas, kuid vastused võiksid olla detailsemad ja tehnilisemalt täpsemad.</t>
  </si>
  <si>
    <t>Hea arusaam salajasusest ja kontrollimisest; Smart‑ID osa vajab konkreetsemaid tehnilisi/õiguslikke tingimusi (eIDAS kõrge, QSCD, mille otsusega lubati).</t>
  </si>
  <si>
    <t>Vastused on arusaadavad, tehniliselt korrektsed ja toovad hästi välja nii ümbriku skeemi, kontrollimise loogika kui ka kahe hääletusviisi erinevad riskid.</t>
  </si>
  <si>
    <t>Suurepärane vastus, toodud on head näited ja tehnilised detailid on lahti seletatud arusaadavalt ning väga korrektselt.</t>
  </si>
  <si>
    <t>Hea arusaam e-valimiste põhimõtetest, selgitused on arusaadavad, kuid mõned kohad võiksid olla tehnilisemalt täpsemad.</t>
  </si>
  <si>
    <t>Sisuliselt korrektne ülevaade, aga tehnilist täpsust võiks tõsta (eriti Q2 kontrollimise täpne mehhanism ning Q1/Q3 serverite rollid ja nõuded).</t>
  </si>
  <si>
    <t>Hea üldine arusaam krüpteerimisest ja Smart-ID tehnilisest mudelist, kuid häälte salajasuse ja kontrolli kirjeldused on kohati liiga üldised ja jätavad mõned võtmedetailid välja.</t>
  </si>
  <si>
    <t>Väga selgelt ja struktureeritult kirjutatud vastus, mis katab kõik nõutud teemad ja kontseptsioonid nõutud mahus.</t>
  </si>
  <si>
    <t>Hea üldine arusaam e-valimiste põhimõtetest, kuid mõned tehnilised detailid võiksid olla täpsemad.</t>
  </si>
  <si>
    <t>Hea baas, kuid Q2 vajab parandust: kontrollimine ei tohi olla serveripoolne valiku avaldamine, vaid telefon peab kontrollima vastavust krüptograafiliselt; Q3-s erista selgemalt seadusemuudatus ja Smart‑ID usaldustaseme nõuded.</t>
  </si>
  <si>
    <t>Väga korralik ja tehniline käsitlus, ainult häälekontrolli kirjeldus võiks natuke täpsemalt kajastada krüptograafilist mehhanismi, mitte üksnes identifikaatorit.</t>
  </si>
  <si>
    <t>Konkreetne ja korrektne analüüs, kõik tehnilised terminid (QSCD, SplitKey) ja protsessid on hästi lahti kirjutatud.</t>
  </si>
  <si>
    <t>Hea tehniline arusaam e-valimiste põhimõtetest, kuid viimane küsimus võiks olla põhjalikum.</t>
  </si>
  <si>
    <t>Väga tugev ja terviklik vastus; väikese täpsustusena võiks selgemalt eristada, millised kontrollitavuse elemendid kehtivad e-hääletuse puhul ning milliseid ei saa paberhääletusele analoogselt üle kanda.</t>
  </si>
  <si>
    <t>Vastused on väga sisukad ja näitavad head arusaama nii krüptograafiast kui ka Eesti e-valimiste praktilisest ja õiguslikust korraldusest.</t>
  </si>
  <si>
    <t>Väga detailne arutelu, mis katab kogu e-valimiste turvamudeli väga kõrgel tasemel.</t>
  </si>
  <si>
    <t>Väga põhjalik ja tehniline vastus, näitab suurepärast arusaamist e-valimiste turvalisusest.</t>
  </si>
  <si>
    <t>Hea algus, kuid vaja on rohkem tehnilisi detaile Q2 ja Q3 osas (kuidas verifitseerimine krüptograafiliselt töötab ja mis täpselt Smart‑ID puhul muutus/usaldustasemega seostub).</t>
  </si>
  <si>
    <t>Põhiidee on mõistetud, kuid mitmes vastuses on tehniline täpsus nõrk ja häälekontrolli ning Smart-ID turvalisuse kirjeldus jääb liiga üldiseks.</t>
  </si>
  <si>
    <t>Arutelu on hea, kuid tehnilistes detailides, eriti Smart-ID võtmehalduses ja kontrollrakenduse tööpõhimõttes, jäi vastus veidi pealispindseks/ebatäpseks.</t>
  </si>
  <si>
    <t>Põhimõttest on aru saadud, kuid vastused võiksid olla tehniliselt detailsemad ja täpsemad.</t>
  </si>
  <si>
    <t>Terviklik ja tehniline vastus; Q2-s lisa üks-kaks lauset selle kohta, et telefon tuvastab valiku taaskrüptimise/võrdluse teel, mitte serveri 'öeldud' valiku kaudu.</t>
  </si>
  <si>
    <t>Kõik neli vastust on hästi struktureeritud, kasutavad nõutud mõisteid ja näitavad head arusaamist nii tehnilisest ülesehitusest kui ka riskianalüüsist.</t>
  </si>
  <si>
    <t>Tugev vastus; ainuke väike puudujääk oli teise küsimuse tehniline seletus hääle krüpteeringu seadmesiselise kontrollimise viisi osas.</t>
  </si>
  <si>
    <t>Väga hea tehniline arusaam e-valimiste põhimõtetest, põhjalik ja täpne vastus.</t>
  </si>
  <si>
    <t>Eriti tugev Q2; paranda Q3, keskendudes eIDAS/QSCD/Smart‑ID Eesti konto usaldustasemele ja konkreetsele valimisseaduse muudatuse ideele, mitte Smart‑ID+ UX-ile.</t>
  </si>
  <si>
    <t>Vastused on tehniliselt tugevad, eriti häälekontrolli kirjeldus, ja argumentatsioon paber- vs e-hääletuse kohta on hästi põhjendatud; ainult Smart-ID osa võiks seaduse tasandil olla veidi konkreetsem.</t>
  </si>
  <si>
    <t>Väga hea arutelu e- ja paberhääletuse erinevustest, nutiseadmega kontrollimise tehniline loogika on eriti hästi ja loogiliselt mõistetud.</t>
  </si>
  <si>
    <t>Hea arusaam e-valimiste tehnilisest poolest, selgitused on arusaadavad ja tehniliselt õiged.</t>
  </si>
  <si>
    <t>Soovitan täpsustada krüptograafilist protsessi (kes krüpteerib, kes allkirjastab, millal allkiri eemaldatakse) ning tuua Q4-s konkreetsemad ründestsenaariumid mõlema hääletusviisi kohta.</t>
  </si>
  <si>
    <t>Vastused näitavad head intuitiivset arusaama ümbriku skeemist, kontrollimehhanismist ja Smart-IDst, kuid tehnilised terminid ja õiguslik kontekst võiksid olla täpsemalt sõnastatud.</t>
  </si>
  <si>
    <t>Korrektne ja ülevaatlik vastus, kus kõik oodatud tehnilised detailid ja seaduspärasused on piisavalt kaetud.</t>
  </si>
  <si>
    <t>Põhiarusaam on olemas, kuid vastused võiksid olla tehniliselt täpsemad ja detailsemad.</t>
  </si>
  <si>
    <t>Arusaam põhimõtetest on olemas, kuid iga vastus vajab tehnilisemat kirjeldust (ümbrikud, serverite rollid, kontrollrakenduse töö ja Smart‑ID õiguslikud eeldused).</t>
  </si>
  <si>
    <t>Põhiskeem ja riskid on arusaadavad, kuid vastused on lühikesed ja tehniline sügavus ning täpsus võiksid olla suuremad, eriti seadusandluse ja kontrolliprotsessi osas.</t>
  </si>
  <si>
    <t>Vastuste põhiline sisuline mõte on õige, kuid kirjutis vajaks tunduvalt rohkem tehnilist sügavust ja spetsiifikat vastamaks ülesande pikkusnõuetele ja detailsusele.</t>
  </si>
  <si>
    <t>Vastused on liiga lühikesed ja puuduvad tehnilised detailid, mis on vajalikud küsimuste täielikuks vastamiseks.</t>
  </si>
  <si>
    <t>Väga korralik ja tehniliselt sisukas vastus; Q2-s ja Q4-s võiks täpsustada, et kontrollrakendus vähendab pahavara riski, kuid ei välista kõiki ründeid (nt sundimine, tarneahela rünnakud).</t>
  </si>
  <si>
    <t>Vastused on terviklikud ja näitavad head arusaamist nii krüptograafilisest ümbriku skeemist kui ka Smart-ID õiguslikust ja tehnilisest taustast ning riskide võrdlusest.</t>
  </si>
  <si>
    <t>Suurepärane tehniline analüüs, mõisted on väga kenasti paigas ja arutelu turvalisuspõhimõtete üle tugev.</t>
  </si>
  <si>
    <t>Väga hea tehniline arusaam e-valimiste põhimõtetest, selgitused on põhjalikud ja täpsed.</t>
  </si>
  <si>
    <t>Max punktid:</t>
  </si>
  <si>
    <t>Keskmine:</t>
  </si>
  <si>
    <t>0 punkti:</t>
  </si>
  <si>
    <t>AI kasutus üle 50%:</t>
  </si>
  <si>
    <t>GPT-5.2</t>
  </si>
  <si>
    <t>Gemini 3.1 Pro</t>
  </si>
  <si>
    <t>GPT-5.1</t>
  </si>
  <si>
    <t>Sonnet 4.5</t>
  </si>
  <si>
    <t>Keskmine TI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</si>
</sst>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allaa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t-E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2"/>
          <c:order val="2"/>
          <c:tx>
            <c:strRef>
              <c:f>Hinded!$D$1</c:f>
              <c:strCache>
                <c:ptCount val="1"/>
                <c:pt idx="0">
                  <c:v>GPT-5.2</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Hinded!$A$2:$A$141</c15:sqref>
                  </c15:fullRef>
                </c:ext>
              </c:extLst>
              <c:f>Hinded!$A$140</c:f>
              <c:strCache>
                <c:ptCount val="1"/>
                <c:pt idx="0">
                  <c:v>Keskmine:</c:v>
                </c:pt>
              </c:strCache>
            </c:strRef>
          </c:cat>
          <c:val>
            <c:numRef>
              <c:extLst>
                <c:ext xmlns:c15="http://schemas.microsoft.com/office/drawing/2012/chart" uri="{02D57815-91ED-43cb-92C2-25804820EDAC}">
                  <c15:fullRef>
                    <c15:sqref>Hinded!$D$2:$D$141</c15:sqref>
                  </c15:fullRef>
                </c:ext>
              </c:extLst>
              <c:f>Hinded!$D$140</c:f>
              <c:numCache>
                <c:formatCode>General</c:formatCode>
                <c:ptCount val="1"/>
                <c:pt idx="0">
                  <c:v>50.38</c:v>
                </c:pt>
              </c:numCache>
            </c:numRef>
          </c:val>
          <c:extLst>
            <c:ext xmlns:c16="http://schemas.microsoft.com/office/drawing/2014/chart" uri="{C3380CC4-5D6E-409C-BE32-E72D297353CC}">
              <c16:uniqueId val="{00000002-8D06-4DCD-AF6A-7D912D8911D3}"/>
            </c:ext>
          </c:extLst>
        </c:ser>
        <c:ser>
          <c:idx val="5"/>
          <c:order val="5"/>
          <c:tx>
            <c:strRef>
              <c:f>Hinded!$G$1</c:f>
              <c:strCache>
                <c:ptCount val="1"/>
                <c:pt idx="0">
                  <c:v>GPT-5.1</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Hinded!$A$2:$A$141</c15:sqref>
                  </c15:fullRef>
                </c:ext>
              </c:extLst>
              <c:f>Hinded!$A$140</c:f>
              <c:strCache>
                <c:ptCount val="1"/>
                <c:pt idx="0">
                  <c:v>Keskmine:</c:v>
                </c:pt>
              </c:strCache>
            </c:strRef>
          </c:cat>
          <c:val>
            <c:numRef>
              <c:extLst>
                <c:ext xmlns:c15="http://schemas.microsoft.com/office/drawing/2012/chart" uri="{02D57815-91ED-43cb-92C2-25804820EDAC}">
                  <c15:fullRef>
                    <c15:sqref>Hinded!$G$2:$G$141</c15:sqref>
                  </c15:fullRef>
                </c:ext>
              </c:extLst>
              <c:f>Hinded!$G$140</c:f>
              <c:numCache>
                <c:formatCode>General</c:formatCode>
                <c:ptCount val="1"/>
                <c:pt idx="0">
                  <c:v>37.83</c:v>
                </c:pt>
              </c:numCache>
            </c:numRef>
          </c:val>
          <c:extLst>
            <c:ext xmlns:c16="http://schemas.microsoft.com/office/drawing/2014/chart" uri="{C3380CC4-5D6E-409C-BE32-E72D297353CC}">
              <c16:uniqueId val="{00000005-8D06-4DCD-AF6A-7D912D8911D3}"/>
            </c:ext>
          </c:extLst>
        </c:ser>
        <c:ser>
          <c:idx val="8"/>
          <c:order val="8"/>
          <c:tx>
            <c:strRef>
              <c:f>Hinded!$J$1</c:f>
              <c:strCache>
                <c:ptCount val="1"/>
                <c:pt idx="0">
                  <c:v>Gemini 3.1 Pro</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Hinded!$A$2:$A$141</c15:sqref>
                  </c15:fullRef>
                </c:ext>
              </c:extLst>
              <c:f>Hinded!$A$140</c:f>
              <c:strCache>
                <c:ptCount val="1"/>
                <c:pt idx="0">
                  <c:v>Keskmine:</c:v>
                </c:pt>
              </c:strCache>
            </c:strRef>
          </c:cat>
          <c:val>
            <c:numRef>
              <c:extLst>
                <c:ext xmlns:c15="http://schemas.microsoft.com/office/drawing/2012/chart" uri="{02D57815-91ED-43cb-92C2-25804820EDAC}">
                  <c15:fullRef>
                    <c15:sqref>Hinded!$J$2:$J$141</c15:sqref>
                  </c15:fullRef>
                </c:ext>
              </c:extLst>
              <c:f>Hinded!$J$140</c:f>
              <c:numCache>
                <c:formatCode>General</c:formatCode>
                <c:ptCount val="1"/>
                <c:pt idx="0">
                  <c:v>8.49</c:v>
                </c:pt>
              </c:numCache>
            </c:numRef>
          </c:val>
          <c:extLst>
            <c:ext xmlns:c16="http://schemas.microsoft.com/office/drawing/2014/chart" uri="{C3380CC4-5D6E-409C-BE32-E72D297353CC}">
              <c16:uniqueId val="{00000008-8D06-4DCD-AF6A-7D912D8911D3}"/>
            </c:ext>
          </c:extLst>
        </c:ser>
        <c:ser>
          <c:idx val="11"/>
          <c:order val="11"/>
          <c:tx>
            <c:strRef>
              <c:f>Hinded!$M$1</c:f>
              <c:strCache>
                <c:ptCount val="1"/>
                <c:pt idx="0">
                  <c:v>Sonnet 4.5</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Hinded!$A$2:$A$141</c15:sqref>
                  </c15:fullRef>
                </c:ext>
              </c:extLst>
              <c:f>Hinded!$A$140</c:f>
              <c:strCache>
                <c:ptCount val="1"/>
                <c:pt idx="0">
                  <c:v>Keskmine:</c:v>
                </c:pt>
              </c:strCache>
            </c:strRef>
          </c:cat>
          <c:val>
            <c:numRef>
              <c:extLst>
                <c:ext xmlns:c15="http://schemas.microsoft.com/office/drawing/2012/chart" uri="{02D57815-91ED-43cb-92C2-25804820EDAC}">
                  <c15:fullRef>
                    <c15:sqref>Hinded!$M$2:$M$141</c15:sqref>
                  </c15:fullRef>
                </c:ext>
              </c:extLst>
              <c:f>Hinded!$M$140</c:f>
              <c:numCache>
                <c:formatCode>General</c:formatCode>
                <c:ptCount val="1"/>
                <c:pt idx="0">
                  <c:v>47.61</c:v>
                </c:pt>
              </c:numCache>
            </c:numRef>
          </c:val>
          <c:extLst>
            <c:ext xmlns:c16="http://schemas.microsoft.com/office/drawing/2014/chart" uri="{C3380CC4-5D6E-409C-BE32-E72D297353CC}">
              <c16:uniqueId val="{0000000B-8D06-4DCD-AF6A-7D912D8911D3}"/>
            </c:ext>
          </c:extLst>
        </c:ser>
        <c:ser>
          <c:idx val="13"/>
          <c:order val="13"/>
          <c:tx>
            <c:strRef>
              <c:f>Hinded!$O$1</c:f>
              <c:strCache>
                <c:ptCount val="1"/>
                <c:pt idx="0">
                  <c:v>Keskmine TI %</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Hinded!$A$2:$A$141</c15:sqref>
                  </c15:fullRef>
                </c:ext>
              </c:extLst>
              <c:f>Hinded!$A$140</c:f>
              <c:strCache>
                <c:ptCount val="1"/>
                <c:pt idx="0">
                  <c:v>Keskmine:</c:v>
                </c:pt>
              </c:strCache>
            </c:strRef>
          </c:cat>
          <c:val>
            <c:numRef>
              <c:extLst>
                <c:ext xmlns:c15="http://schemas.microsoft.com/office/drawing/2012/chart" uri="{02D57815-91ED-43cb-92C2-25804820EDAC}">
                  <c15:fullRef>
                    <c15:sqref>Hinded!$O$2:$O$141</c15:sqref>
                  </c15:fullRef>
                </c:ext>
              </c:extLst>
              <c:f>Hinded!$O$140</c:f>
              <c:numCache>
                <c:formatCode>General</c:formatCode>
                <c:ptCount val="1"/>
                <c:pt idx="0">
                  <c:v>36.08</c:v>
                </c:pt>
              </c:numCache>
            </c:numRef>
          </c:val>
          <c:extLst>
            <c:ext xmlns:c16="http://schemas.microsoft.com/office/drawing/2014/chart" uri="{C3380CC4-5D6E-409C-BE32-E72D297353CC}">
              <c16:uniqueId val="{0000000D-8D06-4DCD-AF6A-7D912D8911D3}"/>
            </c:ext>
          </c:extLst>
        </c:ser>
        <c:dLbls>
          <c:dLblPos val="outEnd"/>
          <c:showLegendKey val="0"/>
          <c:showVal val="1"/>
          <c:showCatName val="0"/>
          <c:showSerName val="0"/>
          <c:showPercent val="0"/>
          <c:showBubbleSize val="0"/>
        </c:dLbls>
        <c:gapWidth val="219"/>
        <c:overlap val="-27"/>
        <c:axId val="493517551"/>
        <c:axId val="493516591"/>
        <c:extLst>
          <c:ext xmlns:c15="http://schemas.microsoft.com/office/drawing/2012/chart" uri="{02D57815-91ED-43cb-92C2-25804820EDAC}">
            <c15:filteredBarSeries>
              <c15:ser>
                <c:idx val="0"/>
                <c:order val="0"/>
                <c:tx>
                  <c:strRef>
                    <c:extLst>
                      <c:ext uri="{02D57815-91ED-43cb-92C2-25804820EDAC}">
                        <c15:formulaRef>
                          <c15:sqref>Hinded!$B$1</c15:sqref>
                        </c15:formulaRef>
                      </c:ext>
                    </c:extLst>
                    <c:strCache>
                      <c:ptCount val="1"/>
                      <c:pt idx="0">
                        <c:v>GPT-5.2 - Punktid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Hinded!$A$2:$A$141</c15:sqref>
                        </c15:fullRef>
                        <c15:formulaRef>
                          <c15:sqref>Hinded!$A$140</c15:sqref>
                        </c15:formulaRef>
                      </c:ext>
                    </c:extLst>
                    <c:strCache>
                      <c:ptCount val="1"/>
                      <c:pt idx="0">
                        <c:v>Keskmine:</c:v>
                      </c:pt>
                    </c:strCache>
                  </c:strRef>
                </c:cat>
                <c:val>
                  <c:numRef>
                    <c:extLst>
                      <c:ext uri="{02D57815-91ED-43cb-92C2-25804820EDAC}">
                        <c15:fullRef>
                          <c15:sqref>Hinded!$B$2:$B$141</c15:sqref>
                        </c15:fullRef>
                        <c15:formulaRef>
                          <c15:sqref>Hinded!$B$140</c15:sqref>
                        </c15:formulaRef>
                      </c:ext>
                    </c:extLst>
                    <c:numCache>
                      <c:formatCode>General</c:formatCode>
                      <c:ptCount val="1"/>
                      <c:pt idx="0">
                        <c:v>0.64</c:v>
                      </c:pt>
                    </c:numCache>
                  </c:numRef>
                </c:val>
                <c:extLst>
                  <c:ext xmlns:c16="http://schemas.microsoft.com/office/drawing/2014/chart" uri="{C3380CC4-5D6E-409C-BE32-E72D297353CC}">
                    <c16:uniqueId val="{00000000-8D06-4DCD-AF6A-7D912D8911D3}"/>
                  </c:ext>
                </c:extLst>
              </c15:ser>
            </c15:filteredBarSeries>
            <c15:filteredBarSeries>
              <c15:ser>
                <c:idx val="1"/>
                <c:order val="1"/>
                <c:tx>
                  <c:strRef>
                    <c:extLst>
                      <c:ext xmlns:c15="http://schemas.microsoft.com/office/drawing/2012/chart" uri="{02D57815-91ED-43cb-92C2-25804820EDAC}">
                        <c15:formulaRef>
                          <c15:sqref>Hinded!$C$1</c15:sqref>
                        </c15:formulaRef>
                      </c:ext>
                    </c:extLst>
                    <c:strCache>
                      <c:ptCount val="1"/>
                      <c:pt idx="0">
                        <c:v>GPT-5.2 - Tagasiside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Hinded!$A$2:$A$141</c15:sqref>
                        </c15:fullRef>
                        <c15:formulaRef>
                          <c15:sqref>Hinded!$A$140</c15:sqref>
                        </c15:formulaRef>
                      </c:ext>
                    </c:extLst>
                    <c:strCache>
                      <c:ptCount val="1"/>
                      <c:pt idx="0">
                        <c:v>Keskmine:</c:v>
                      </c:pt>
                    </c:strCache>
                  </c:strRef>
                </c:cat>
                <c:val>
                  <c:numRef>
                    <c:extLst>
                      <c:ext xmlns:c15="http://schemas.microsoft.com/office/drawing/2012/chart" uri="{02D57815-91ED-43cb-92C2-25804820EDAC}">
                        <c15:fullRef>
                          <c15:sqref>Hinded!$C$2:$C$141</c15:sqref>
                        </c15:fullRef>
                        <c15:formulaRef>
                          <c15:sqref>Hinded!$C$140</c15:sqref>
                        </c15:formulaRef>
                      </c:ext>
                    </c:extLst>
                    <c:numCache>
                      <c:formatCode>General</c:formatCode>
                      <c:ptCount val="1"/>
                    </c:numCache>
                  </c:numRef>
                </c:val>
                <c:extLst>
                  <c:ext xmlns:c16="http://schemas.microsoft.com/office/drawing/2014/chart" uri="{C3380CC4-5D6E-409C-BE32-E72D297353CC}">
                    <c16:uniqueId val="{00000001-8D06-4DCD-AF6A-7D912D8911D3}"/>
                  </c:ext>
                </c:extLst>
              </c15:ser>
            </c15:filteredBarSeries>
            <c15:filteredBarSeries>
              <c15:ser>
                <c:idx val="3"/>
                <c:order val="3"/>
                <c:tx>
                  <c:strRef>
                    <c:extLst>
                      <c:ext xmlns:c15="http://schemas.microsoft.com/office/drawing/2012/chart" uri="{02D57815-91ED-43cb-92C2-25804820EDAC}">
                        <c15:formulaRef>
                          <c15:sqref>Hinded!$E$1</c15:sqref>
                        </c15:formulaRef>
                      </c:ext>
                    </c:extLst>
                    <c:strCache>
                      <c:ptCount val="1"/>
                      <c:pt idx="0">
                        <c:v>GPT-5.1 - Punktid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Hinded!$A$2:$A$141</c15:sqref>
                        </c15:fullRef>
                        <c15:formulaRef>
                          <c15:sqref>Hinded!$A$140</c15:sqref>
                        </c15:formulaRef>
                      </c:ext>
                    </c:extLst>
                    <c:strCache>
                      <c:ptCount val="1"/>
                      <c:pt idx="0">
                        <c:v>Keskmine:</c:v>
                      </c:pt>
                    </c:strCache>
                  </c:strRef>
                </c:cat>
                <c:val>
                  <c:numRef>
                    <c:extLst>
                      <c:ext xmlns:c15="http://schemas.microsoft.com/office/drawing/2012/chart" uri="{02D57815-91ED-43cb-92C2-25804820EDAC}">
                        <c15:fullRef>
                          <c15:sqref>Hinded!$E$2:$E$141</c15:sqref>
                        </c15:fullRef>
                        <c15:formulaRef>
                          <c15:sqref>Hinded!$E$140</c15:sqref>
                        </c15:formulaRef>
                      </c:ext>
                    </c:extLst>
                    <c:numCache>
                      <c:formatCode>General</c:formatCode>
                      <c:ptCount val="1"/>
                      <c:pt idx="0">
                        <c:v>0.74</c:v>
                      </c:pt>
                    </c:numCache>
                  </c:numRef>
                </c:val>
                <c:extLst>
                  <c:ext xmlns:c16="http://schemas.microsoft.com/office/drawing/2014/chart" uri="{C3380CC4-5D6E-409C-BE32-E72D297353CC}">
                    <c16:uniqueId val="{00000003-8D06-4DCD-AF6A-7D912D8911D3}"/>
                  </c:ext>
                </c:extLst>
              </c15:ser>
            </c15:filteredBarSeries>
            <c15:filteredBarSeries>
              <c15:ser>
                <c:idx val="4"/>
                <c:order val="4"/>
                <c:tx>
                  <c:strRef>
                    <c:extLst>
                      <c:ext xmlns:c15="http://schemas.microsoft.com/office/drawing/2012/chart" uri="{02D57815-91ED-43cb-92C2-25804820EDAC}">
                        <c15:formulaRef>
                          <c15:sqref>Hinded!$F$1</c15:sqref>
                        </c15:formulaRef>
                      </c:ext>
                    </c:extLst>
                    <c:strCache>
                      <c:ptCount val="1"/>
                      <c:pt idx="0">
                        <c:v>GPT-5.1 - Tagasiside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Hinded!$A$2:$A$141</c15:sqref>
                        </c15:fullRef>
                        <c15:formulaRef>
                          <c15:sqref>Hinded!$A$140</c15:sqref>
                        </c15:formulaRef>
                      </c:ext>
                    </c:extLst>
                    <c:strCache>
                      <c:ptCount val="1"/>
                      <c:pt idx="0">
                        <c:v>Keskmine:</c:v>
                      </c:pt>
                    </c:strCache>
                  </c:strRef>
                </c:cat>
                <c:val>
                  <c:numRef>
                    <c:extLst>
                      <c:ext xmlns:c15="http://schemas.microsoft.com/office/drawing/2012/chart" uri="{02D57815-91ED-43cb-92C2-25804820EDAC}">
                        <c15:fullRef>
                          <c15:sqref>Hinded!$F$2:$F$141</c15:sqref>
                        </c15:fullRef>
                        <c15:formulaRef>
                          <c15:sqref>Hinded!$F$140</c15:sqref>
                        </c15:formulaRef>
                      </c:ext>
                    </c:extLst>
                    <c:numCache>
                      <c:formatCode>General</c:formatCode>
                      <c:ptCount val="1"/>
                    </c:numCache>
                  </c:numRef>
                </c:val>
                <c:extLst>
                  <c:ext xmlns:c16="http://schemas.microsoft.com/office/drawing/2014/chart" uri="{C3380CC4-5D6E-409C-BE32-E72D297353CC}">
                    <c16:uniqueId val="{00000004-8D06-4DCD-AF6A-7D912D8911D3}"/>
                  </c:ext>
                </c:extLst>
              </c15:ser>
            </c15:filteredBarSeries>
            <c15:filteredBarSeries>
              <c15:ser>
                <c:idx val="6"/>
                <c:order val="6"/>
                <c:tx>
                  <c:strRef>
                    <c:extLst>
                      <c:ext xmlns:c15="http://schemas.microsoft.com/office/drawing/2012/chart" uri="{02D57815-91ED-43cb-92C2-25804820EDAC}">
                        <c15:formulaRef>
                          <c15:sqref>Hinded!$H$1</c15:sqref>
                        </c15:formulaRef>
                      </c:ext>
                    </c:extLst>
                    <c:strCache>
                      <c:ptCount val="1"/>
                      <c:pt idx="0">
                        <c:v>Gemini 3.1 Pro - Punktid</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Hinded!$A$2:$A$141</c15:sqref>
                        </c15:fullRef>
                        <c15:formulaRef>
                          <c15:sqref>Hinded!$A$140</c15:sqref>
                        </c15:formulaRef>
                      </c:ext>
                    </c:extLst>
                    <c:strCache>
                      <c:ptCount val="1"/>
                      <c:pt idx="0">
                        <c:v>Keskmine:</c:v>
                      </c:pt>
                    </c:strCache>
                  </c:strRef>
                </c:cat>
                <c:val>
                  <c:numRef>
                    <c:extLst>
                      <c:ext xmlns:c15="http://schemas.microsoft.com/office/drawing/2012/chart" uri="{02D57815-91ED-43cb-92C2-25804820EDAC}">
                        <c15:fullRef>
                          <c15:sqref>Hinded!$H$2:$H$141</c15:sqref>
                        </c15:fullRef>
                        <c15:formulaRef>
                          <c15:sqref>Hinded!$H$140</c15:sqref>
                        </c15:formulaRef>
                      </c:ext>
                    </c:extLst>
                    <c:numCache>
                      <c:formatCode>General</c:formatCode>
                      <c:ptCount val="1"/>
                      <c:pt idx="0">
                        <c:v>0.74</c:v>
                      </c:pt>
                    </c:numCache>
                  </c:numRef>
                </c:val>
                <c:extLst>
                  <c:ext xmlns:c16="http://schemas.microsoft.com/office/drawing/2014/chart" uri="{C3380CC4-5D6E-409C-BE32-E72D297353CC}">
                    <c16:uniqueId val="{00000006-8D06-4DCD-AF6A-7D912D8911D3}"/>
                  </c:ext>
                </c:extLst>
              </c15:ser>
            </c15:filteredBarSeries>
            <c15:filteredBarSeries>
              <c15:ser>
                <c:idx val="7"/>
                <c:order val="7"/>
                <c:tx>
                  <c:strRef>
                    <c:extLst>
                      <c:ext xmlns:c15="http://schemas.microsoft.com/office/drawing/2012/chart" uri="{02D57815-91ED-43cb-92C2-25804820EDAC}">
                        <c15:formulaRef>
                          <c15:sqref>Hinded!$I$1</c15:sqref>
                        </c15:formulaRef>
                      </c:ext>
                    </c:extLst>
                    <c:strCache>
                      <c:ptCount val="1"/>
                      <c:pt idx="0">
                        <c:v>Gemini 3.1 Pro - Tagasiside</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Hinded!$A$2:$A$141</c15:sqref>
                        </c15:fullRef>
                        <c15:formulaRef>
                          <c15:sqref>Hinded!$A$140</c15:sqref>
                        </c15:formulaRef>
                      </c:ext>
                    </c:extLst>
                    <c:strCache>
                      <c:ptCount val="1"/>
                      <c:pt idx="0">
                        <c:v>Keskmine:</c:v>
                      </c:pt>
                    </c:strCache>
                  </c:strRef>
                </c:cat>
                <c:val>
                  <c:numRef>
                    <c:extLst>
                      <c:ext xmlns:c15="http://schemas.microsoft.com/office/drawing/2012/chart" uri="{02D57815-91ED-43cb-92C2-25804820EDAC}">
                        <c15:fullRef>
                          <c15:sqref>Hinded!$I$2:$I$141</c15:sqref>
                        </c15:fullRef>
                        <c15:formulaRef>
                          <c15:sqref>Hinded!$I$140</c15:sqref>
                        </c15:formulaRef>
                      </c:ext>
                    </c:extLst>
                    <c:numCache>
                      <c:formatCode>General</c:formatCode>
                      <c:ptCount val="1"/>
                    </c:numCache>
                  </c:numRef>
                </c:val>
                <c:extLst>
                  <c:ext xmlns:c16="http://schemas.microsoft.com/office/drawing/2014/chart" uri="{C3380CC4-5D6E-409C-BE32-E72D297353CC}">
                    <c16:uniqueId val="{00000007-8D06-4DCD-AF6A-7D912D8911D3}"/>
                  </c:ext>
                </c:extLst>
              </c15:ser>
            </c15:filteredBarSeries>
            <c15:filteredBarSeries>
              <c15:ser>
                <c:idx val="9"/>
                <c:order val="9"/>
                <c:tx>
                  <c:strRef>
                    <c:extLst>
                      <c:ext xmlns:c15="http://schemas.microsoft.com/office/drawing/2012/chart" uri="{02D57815-91ED-43cb-92C2-25804820EDAC}">
                        <c15:formulaRef>
                          <c15:sqref>Hinded!$K$1</c15:sqref>
                        </c15:formulaRef>
                      </c:ext>
                    </c:extLst>
                    <c:strCache>
                      <c:ptCount val="1"/>
                      <c:pt idx="0">
                        <c:v>Sonnet 4.5 - Punktid</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Hinded!$A$2:$A$141</c15:sqref>
                        </c15:fullRef>
                        <c15:formulaRef>
                          <c15:sqref>Hinded!$A$140</c15:sqref>
                        </c15:formulaRef>
                      </c:ext>
                    </c:extLst>
                    <c:strCache>
                      <c:ptCount val="1"/>
                      <c:pt idx="0">
                        <c:v>Keskmine:</c:v>
                      </c:pt>
                    </c:strCache>
                  </c:strRef>
                </c:cat>
                <c:val>
                  <c:numRef>
                    <c:extLst>
                      <c:ext xmlns:c15="http://schemas.microsoft.com/office/drawing/2012/chart" uri="{02D57815-91ED-43cb-92C2-25804820EDAC}">
                        <c15:fullRef>
                          <c15:sqref>Hinded!$K$2:$K$141</c15:sqref>
                        </c15:fullRef>
                        <c15:formulaRef>
                          <c15:sqref>Hinded!$K$140</c15:sqref>
                        </c15:formulaRef>
                      </c:ext>
                    </c:extLst>
                    <c:numCache>
                      <c:formatCode>General</c:formatCode>
                      <c:ptCount val="1"/>
                      <c:pt idx="0">
                        <c:v>0.69</c:v>
                      </c:pt>
                    </c:numCache>
                  </c:numRef>
                </c:val>
                <c:extLst>
                  <c:ext xmlns:c16="http://schemas.microsoft.com/office/drawing/2014/chart" uri="{C3380CC4-5D6E-409C-BE32-E72D297353CC}">
                    <c16:uniqueId val="{00000009-8D06-4DCD-AF6A-7D912D8911D3}"/>
                  </c:ext>
                </c:extLst>
              </c15:ser>
            </c15:filteredBarSeries>
            <c15:filteredBarSeries>
              <c15:ser>
                <c:idx val="10"/>
                <c:order val="10"/>
                <c:tx>
                  <c:strRef>
                    <c:extLst>
                      <c:ext xmlns:c15="http://schemas.microsoft.com/office/drawing/2012/chart" uri="{02D57815-91ED-43cb-92C2-25804820EDAC}">
                        <c15:formulaRef>
                          <c15:sqref>Hinded!$L$1</c15:sqref>
                        </c15:formulaRef>
                      </c:ext>
                    </c:extLst>
                    <c:strCache>
                      <c:ptCount val="1"/>
                      <c:pt idx="0">
                        <c:v>Sonnet 4.5 - Tagasiside</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Hinded!$A$2:$A$141</c15:sqref>
                        </c15:fullRef>
                        <c15:formulaRef>
                          <c15:sqref>Hinded!$A$140</c15:sqref>
                        </c15:formulaRef>
                      </c:ext>
                    </c:extLst>
                    <c:strCache>
                      <c:ptCount val="1"/>
                      <c:pt idx="0">
                        <c:v>Keskmine:</c:v>
                      </c:pt>
                    </c:strCache>
                  </c:strRef>
                </c:cat>
                <c:val>
                  <c:numRef>
                    <c:extLst>
                      <c:ext xmlns:c15="http://schemas.microsoft.com/office/drawing/2012/chart" uri="{02D57815-91ED-43cb-92C2-25804820EDAC}">
                        <c15:fullRef>
                          <c15:sqref>Hinded!$L$2:$L$141</c15:sqref>
                        </c15:fullRef>
                        <c15:formulaRef>
                          <c15:sqref>Hinded!$L$140</c15:sqref>
                        </c15:formulaRef>
                      </c:ext>
                    </c:extLst>
                    <c:numCache>
                      <c:formatCode>General</c:formatCode>
                      <c:ptCount val="1"/>
                    </c:numCache>
                  </c:numRef>
                </c:val>
                <c:extLst>
                  <c:ext xmlns:c16="http://schemas.microsoft.com/office/drawing/2014/chart" uri="{C3380CC4-5D6E-409C-BE32-E72D297353CC}">
                    <c16:uniqueId val="{0000000A-8D06-4DCD-AF6A-7D912D8911D3}"/>
                  </c:ext>
                </c:extLst>
              </c15:ser>
            </c15:filteredBarSeries>
            <c15:filteredBarSeries>
              <c15:ser>
                <c:idx val="12"/>
                <c:order val="12"/>
                <c:tx>
                  <c:strRef>
                    <c:extLst>
                      <c:ext xmlns:c15="http://schemas.microsoft.com/office/drawing/2012/chart" uri="{02D57815-91ED-43cb-92C2-25804820EDAC}">
                        <c15:formulaRef>
                          <c15:sqref>Hinded!$N$1</c15:sqref>
                        </c15:formulaRef>
                      </c:ext>
                    </c:extLst>
                    <c:strCache>
                      <c:ptCount val="1"/>
                      <c:pt idx="0">
                        <c:v>Keskmine punktid</c:v>
                      </c:pt>
                    </c:strCache>
                  </c:strRef>
                </c:tx>
                <c:spPr>
                  <a:solidFill>
                    <a:schemeClr val="accent1">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Hinded!$A$2:$A$141</c15:sqref>
                        </c15:fullRef>
                        <c15:formulaRef>
                          <c15:sqref>Hinded!$A$140</c15:sqref>
                        </c15:formulaRef>
                      </c:ext>
                    </c:extLst>
                    <c:strCache>
                      <c:ptCount val="1"/>
                      <c:pt idx="0">
                        <c:v>Keskmine:</c:v>
                      </c:pt>
                    </c:strCache>
                  </c:strRef>
                </c:cat>
                <c:val>
                  <c:numRef>
                    <c:extLst>
                      <c:ext xmlns:c15="http://schemas.microsoft.com/office/drawing/2012/chart" uri="{02D57815-91ED-43cb-92C2-25804820EDAC}">
                        <c15:fullRef>
                          <c15:sqref>Hinded!$N$2:$N$141</c15:sqref>
                        </c15:fullRef>
                        <c15:formulaRef>
                          <c15:sqref>Hinded!$N$140</c15:sqref>
                        </c15:formulaRef>
                      </c:ext>
                    </c:extLst>
                    <c:numCache>
                      <c:formatCode>General</c:formatCode>
                      <c:ptCount val="1"/>
                    </c:numCache>
                  </c:numRef>
                </c:val>
                <c:extLst>
                  <c:ext xmlns:c16="http://schemas.microsoft.com/office/drawing/2014/chart" uri="{C3380CC4-5D6E-409C-BE32-E72D297353CC}">
                    <c16:uniqueId val="{0000000C-8D06-4DCD-AF6A-7D912D8911D3}"/>
                  </c:ext>
                </c:extLst>
              </c15:ser>
            </c15:filteredBarSeries>
          </c:ext>
        </c:extLst>
      </c:barChart>
      <c:catAx>
        <c:axId val="493517551"/>
        <c:scaling>
          <c:orientation val="minMax"/>
        </c:scaling>
        <c:delete val="1"/>
        <c:axPos val="b"/>
        <c:numFmt formatCode="General" sourceLinked="1"/>
        <c:majorTickMark val="none"/>
        <c:minorTickMark val="none"/>
        <c:tickLblPos val="nextTo"/>
        <c:crossAx val="493516591"/>
        <c:crosses val="autoZero"/>
        <c:auto val="1"/>
        <c:lblAlgn val="ctr"/>
        <c:lblOffset val="100"/>
        <c:noMultiLvlLbl val="0"/>
      </c:catAx>
      <c:valAx>
        <c:axId val="4935165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Keskmine TI kasutamise tõenäosus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5175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914400</xdr:colOff>
      <xdr:row>141</xdr:row>
      <xdr:rowOff>163830</xdr:rowOff>
    </xdr:from>
    <xdr:to>
      <xdr:col>4</xdr:col>
      <xdr:colOff>960120</xdr:colOff>
      <xdr:row>156</xdr:row>
      <xdr:rowOff>163830</xdr:rowOff>
    </xdr:to>
    <xdr:graphicFrame macro="">
      <xdr:nvGraphicFramePr>
        <xdr:cNvPr id="2" name="Diagramm 1">
          <a:extLst>
            <a:ext uri="{FF2B5EF4-FFF2-40B4-BE49-F238E27FC236}">
              <a16:creationId xmlns:a16="http://schemas.microsoft.com/office/drawing/2014/main" id="{432CBF53-86EF-E341-4D95-957079D53F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41"/>
  <sheetViews>
    <sheetView tabSelected="1" topLeftCell="C87" workbookViewId="0">
      <selection activeCell="H107" sqref="H107"/>
    </sheetView>
  </sheetViews>
  <sheetFormatPr defaultRowHeight="14.4" x14ac:dyDescent="0.3"/>
  <cols>
    <col min="1" max="1" width="18.109375" customWidth="1"/>
    <col min="2" max="2" width="19" customWidth="1"/>
    <col min="3" max="3" width="50" customWidth="1"/>
    <col min="4" max="4" width="16" customWidth="1"/>
    <col min="5" max="5" width="19" customWidth="1"/>
    <col min="6" max="6" width="50" customWidth="1"/>
    <col min="7" max="7" width="16" customWidth="1"/>
    <col min="8" max="8" width="26" customWidth="1"/>
    <col min="9" max="9" width="50" customWidth="1"/>
    <col min="10" max="10" width="23" customWidth="1"/>
    <col min="11" max="11" width="22" customWidth="1"/>
    <col min="12" max="12" width="50" customWidth="1"/>
    <col min="13" max="13" width="19" customWidth="1"/>
    <col min="14" max="14" width="18" customWidth="1"/>
    <col min="15" max="15" width="15" customWidth="1"/>
  </cols>
  <sheetData>
    <row r="1" spans="1:15" x14ac:dyDescent="0.3">
      <c r="A1" t="s">
        <v>0</v>
      </c>
      <c r="B1" t="s">
        <v>1</v>
      </c>
      <c r="C1" t="s">
        <v>2</v>
      </c>
      <c r="D1" t="s">
        <v>446</v>
      </c>
      <c r="E1" t="s">
        <v>3</v>
      </c>
      <c r="F1" t="s">
        <v>4</v>
      </c>
      <c r="G1" t="s">
        <v>448</v>
      </c>
      <c r="H1" t="s">
        <v>5</v>
      </c>
      <c r="I1" t="s">
        <v>6</v>
      </c>
      <c r="J1" t="s">
        <v>447</v>
      </c>
      <c r="K1" t="s">
        <v>7</v>
      </c>
      <c r="L1" t="s">
        <v>8</v>
      </c>
      <c r="M1" t="s">
        <v>449</v>
      </c>
      <c r="N1" t="s">
        <v>9</v>
      </c>
      <c r="O1" t="s">
        <v>450</v>
      </c>
    </row>
    <row r="2" spans="1:15" x14ac:dyDescent="0.3">
      <c r="A2">
        <v>3084201</v>
      </c>
      <c r="B2">
        <v>0.82</v>
      </c>
      <c r="C2" t="s">
        <v>10</v>
      </c>
      <c r="D2">
        <v>68</v>
      </c>
      <c r="E2">
        <v>1</v>
      </c>
      <c r="F2" t="s">
        <v>11</v>
      </c>
      <c r="G2">
        <v>35</v>
      </c>
      <c r="H2">
        <v>0.9</v>
      </c>
      <c r="I2" t="s">
        <v>12</v>
      </c>
      <c r="J2">
        <v>10</v>
      </c>
      <c r="K2">
        <v>0.95</v>
      </c>
      <c r="L2" t="s">
        <v>13</v>
      </c>
      <c r="M2">
        <v>25</v>
      </c>
      <c r="N2">
        <v>0.92</v>
      </c>
      <c r="O2">
        <v>34.5</v>
      </c>
    </row>
    <row r="3" spans="1:15" x14ac:dyDescent="0.3">
      <c r="A3">
        <v>3084202</v>
      </c>
      <c r="B3">
        <v>0.96</v>
      </c>
      <c r="C3" t="s">
        <v>14</v>
      </c>
      <c r="D3">
        <v>74</v>
      </c>
      <c r="E3">
        <v>1</v>
      </c>
      <c r="F3" t="s">
        <v>15</v>
      </c>
      <c r="G3">
        <v>40</v>
      </c>
      <c r="H3">
        <v>0.95</v>
      </c>
      <c r="I3" t="s">
        <v>16</v>
      </c>
      <c r="J3">
        <v>10</v>
      </c>
      <c r="K3">
        <v>1</v>
      </c>
      <c r="L3" t="s">
        <v>17</v>
      </c>
      <c r="M3">
        <v>35</v>
      </c>
      <c r="N3">
        <v>0.98</v>
      </c>
      <c r="O3">
        <v>39.799999999999997</v>
      </c>
    </row>
    <row r="4" spans="1:15" x14ac:dyDescent="0.3">
      <c r="A4">
        <v>3084203</v>
      </c>
      <c r="B4">
        <v>0</v>
      </c>
      <c r="C4" t="s">
        <v>18</v>
      </c>
      <c r="D4">
        <v>0</v>
      </c>
      <c r="E4">
        <v>0</v>
      </c>
      <c r="F4" t="s">
        <v>18</v>
      </c>
      <c r="G4">
        <v>0</v>
      </c>
      <c r="H4">
        <v>0</v>
      </c>
      <c r="I4" t="s">
        <v>18</v>
      </c>
      <c r="J4">
        <v>0</v>
      </c>
      <c r="K4">
        <v>0</v>
      </c>
      <c r="L4" t="s">
        <v>18</v>
      </c>
      <c r="M4">
        <v>0</v>
      </c>
      <c r="N4">
        <v>0</v>
      </c>
      <c r="O4">
        <v>0</v>
      </c>
    </row>
    <row r="5" spans="1:15" x14ac:dyDescent="0.3">
      <c r="A5">
        <v>3084207</v>
      </c>
      <c r="B5">
        <v>0</v>
      </c>
      <c r="C5" t="s">
        <v>18</v>
      </c>
      <c r="D5">
        <v>0</v>
      </c>
      <c r="E5">
        <v>0</v>
      </c>
      <c r="F5" t="s">
        <v>18</v>
      </c>
      <c r="G5">
        <v>0</v>
      </c>
      <c r="H5">
        <v>0</v>
      </c>
      <c r="I5" t="s">
        <v>18</v>
      </c>
      <c r="J5">
        <v>0</v>
      </c>
      <c r="K5">
        <v>0</v>
      </c>
      <c r="L5" t="s">
        <v>18</v>
      </c>
      <c r="M5">
        <v>0</v>
      </c>
      <c r="N5">
        <v>0</v>
      </c>
      <c r="O5">
        <v>0</v>
      </c>
    </row>
    <row r="6" spans="1:15" x14ac:dyDescent="0.3">
      <c r="A6">
        <v>3084208</v>
      </c>
      <c r="B6">
        <v>0.95</v>
      </c>
      <c r="C6" t="s">
        <v>19</v>
      </c>
      <c r="D6">
        <v>66</v>
      </c>
      <c r="E6">
        <v>1</v>
      </c>
      <c r="F6" t="s">
        <v>20</v>
      </c>
      <c r="G6">
        <v>45</v>
      </c>
      <c r="H6">
        <v>1</v>
      </c>
      <c r="I6" t="s">
        <v>21</v>
      </c>
      <c r="J6">
        <v>0</v>
      </c>
      <c r="K6">
        <v>0.9</v>
      </c>
      <c r="L6" t="s">
        <v>22</v>
      </c>
      <c r="M6">
        <v>30</v>
      </c>
      <c r="N6">
        <v>0.96</v>
      </c>
      <c r="O6">
        <v>35.200000000000003</v>
      </c>
    </row>
    <row r="7" spans="1:15" x14ac:dyDescent="0.3">
      <c r="A7">
        <v>3084209</v>
      </c>
      <c r="B7">
        <v>0.65</v>
      </c>
      <c r="C7" t="s">
        <v>23</v>
      </c>
      <c r="D7">
        <v>43</v>
      </c>
      <c r="E7">
        <v>0.88</v>
      </c>
      <c r="F7" t="s">
        <v>24</v>
      </c>
      <c r="G7">
        <v>30</v>
      </c>
      <c r="H7">
        <v>0.9</v>
      </c>
      <c r="I7" t="s">
        <v>25</v>
      </c>
      <c r="J7">
        <v>5</v>
      </c>
      <c r="K7">
        <v>0.75</v>
      </c>
      <c r="L7" t="s">
        <v>26</v>
      </c>
      <c r="M7">
        <v>15</v>
      </c>
      <c r="N7">
        <v>0.8</v>
      </c>
      <c r="O7">
        <v>23.2</v>
      </c>
    </row>
    <row r="8" spans="1:15" x14ac:dyDescent="0.3">
      <c r="A8">
        <v>3084211</v>
      </c>
      <c r="B8">
        <v>0.78</v>
      </c>
      <c r="C8" t="s">
        <v>27</v>
      </c>
      <c r="D8">
        <v>52</v>
      </c>
      <c r="E8">
        <v>0.88</v>
      </c>
      <c r="F8" t="s">
        <v>28</v>
      </c>
      <c r="G8">
        <v>35</v>
      </c>
      <c r="H8">
        <v>0.95</v>
      </c>
      <c r="I8" t="s">
        <v>29</v>
      </c>
      <c r="J8">
        <v>0</v>
      </c>
      <c r="K8">
        <v>0.75</v>
      </c>
      <c r="L8" t="s">
        <v>30</v>
      </c>
      <c r="M8">
        <v>20</v>
      </c>
      <c r="N8">
        <v>0.84</v>
      </c>
      <c r="O8">
        <v>26.8</v>
      </c>
    </row>
    <row r="9" spans="1:15" x14ac:dyDescent="0.3">
      <c r="A9">
        <v>3084212</v>
      </c>
      <c r="B9">
        <v>0.71</v>
      </c>
      <c r="C9" t="s">
        <v>31</v>
      </c>
      <c r="D9">
        <v>40</v>
      </c>
      <c r="E9">
        <v>0.88</v>
      </c>
      <c r="F9" t="s">
        <v>32</v>
      </c>
      <c r="G9">
        <v>35</v>
      </c>
      <c r="H9">
        <v>0.85</v>
      </c>
      <c r="I9" t="s">
        <v>33</v>
      </c>
      <c r="J9">
        <v>10</v>
      </c>
      <c r="K9">
        <v>0.85</v>
      </c>
      <c r="L9" t="s">
        <v>34</v>
      </c>
      <c r="M9">
        <v>25</v>
      </c>
      <c r="N9">
        <v>0.82</v>
      </c>
      <c r="O9">
        <v>27.5</v>
      </c>
    </row>
    <row r="10" spans="1:15" x14ac:dyDescent="0.3">
      <c r="A10">
        <v>3084213</v>
      </c>
      <c r="B10">
        <v>0.75</v>
      </c>
      <c r="C10" t="s">
        <v>35</v>
      </c>
      <c r="D10">
        <v>58</v>
      </c>
      <c r="E10">
        <v>0.94</v>
      </c>
      <c r="F10" t="s">
        <v>36</v>
      </c>
      <c r="G10">
        <v>30</v>
      </c>
      <c r="H10">
        <v>0.95</v>
      </c>
      <c r="I10" t="s">
        <v>37</v>
      </c>
      <c r="J10">
        <v>0</v>
      </c>
      <c r="K10">
        <v>0.7</v>
      </c>
      <c r="L10" t="s">
        <v>38</v>
      </c>
      <c r="M10">
        <v>20</v>
      </c>
      <c r="N10">
        <v>0.83</v>
      </c>
      <c r="O10">
        <v>27</v>
      </c>
    </row>
    <row r="11" spans="1:15" x14ac:dyDescent="0.3">
      <c r="A11">
        <v>3084214</v>
      </c>
      <c r="B11">
        <v>0.9</v>
      </c>
      <c r="C11" t="s">
        <v>39</v>
      </c>
      <c r="D11">
        <v>76</v>
      </c>
      <c r="E11">
        <v>1</v>
      </c>
      <c r="F11" t="s">
        <v>40</v>
      </c>
      <c r="G11">
        <v>45</v>
      </c>
      <c r="H11">
        <v>1</v>
      </c>
      <c r="I11" t="s">
        <v>41</v>
      </c>
      <c r="J11">
        <v>40</v>
      </c>
      <c r="K11">
        <v>1</v>
      </c>
      <c r="L11" t="s">
        <v>42</v>
      </c>
      <c r="M11">
        <v>40</v>
      </c>
      <c r="N11">
        <v>0.97</v>
      </c>
      <c r="O11">
        <v>50.2</v>
      </c>
    </row>
    <row r="12" spans="1:15" x14ac:dyDescent="0.3">
      <c r="A12">
        <v>3084215</v>
      </c>
      <c r="B12">
        <v>0.63</v>
      </c>
      <c r="C12" t="s">
        <v>43</v>
      </c>
      <c r="D12">
        <v>47</v>
      </c>
      <c r="E12">
        <v>0.75</v>
      </c>
      <c r="F12" t="s">
        <v>44</v>
      </c>
      <c r="G12">
        <v>35</v>
      </c>
      <c r="H12">
        <v>0.95</v>
      </c>
      <c r="I12" t="s">
        <v>45</v>
      </c>
      <c r="J12">
        <v>0</v>
      </c>
      <c r="K12">
        <v>0.75</v>
      </c>
      <c r="L12" t="s">
        <v>46</v>
      </c>
      <c r="M12">
        <v>20</v>
      </c>
      <c r="N12">
        <v>0.77</v>
      </c>
      <c r="O12">
        <v>25.5</v>
      </c>
    </row>
    <row r="13" spans="1:15" x14ac:dyDescent="0.3">
      <c r="A13">
        <v>3084217</v>
      </c>
      <c r="B13">
        <v>0.87</v>
      </c>
      <c r="C13" t="s">
        <v>47</v>
      </c>
      <c r="D13">
        <v>71</v>
      </c>
      <c r="E13">
        <v>1</v>
      </c>
      <c r="F13" t="s">
        <v>48</v>
      </c>
      <c r="G13">
        <v>55</v>
      </c>
      <c r="H13">
        <v>1</v>
      </c>
      <c r="I13" t="s">
        <v>49</v>
      </c>
      <c r="J13">
        <v>0</v>
      </c>
      <c r="K13">
        <v>0.9</v>
      </c>
      <c r="L13" t="s">
        <v>50</v>
      </c>
      <c r="M13">
        <v>30</v>
      </c>
      <c r="N13">
        <v>0.94</v>
      </c>
      <c r="O13">
        <v>39</v>
      </c>
    </row>
    <row r="14" spans="1:15" x14ac:dyDescent="0.3">
      <c r="A14">
        <v>3084219</v>
      </c>
      <c r="B14">
        <v>0.75</v>
      </c>
      <c r="C14" t="s">
        <v>51</v>
      </c>
      <c r="D14">
        <v>63</v>
      </c>
      <c r="E14">
        <v>0.81</v>
      </c>
      <c r="F14" t="s">
        <v>52</v>
      </c>
      <c r="G14">
        <v>25</v>
      </c>
      <c r="H14">
        <v>0.9</v>
      </c>
      <c r="I14" t="s">
        <v>53</v>
      </c>
      <c r="J14">
        <v>0</v>
      </c>
      <c r="K14">
        <v>0.65</v>
      </c>
      <c r="L14" t="s">
        <v>54</v>
      </c>
      <c r="M14">
        <v>15</v>
      </c>
      <c r="N14">
        <v>0.78</v>
      </c>
      <c r="O14">
        <v>25.8</v>
      </c>
    </row>
    <row r="15" spans="1:15" x14ac:dyDescent="0.3">
      <c r="A15">
        <v>3084220</v>
      </c>
      <c r="B15">
        <v>0.76</v>
      </c>
      <c r="C15" t="s">
        <v>55</v>
      </c>
      <c r="D15">
        <v>55</v>
      </c>
      <c r="E15">
        <v>0.88</v>
      </c>
      <c r="F15" t="s">
        <v>56</v>
      </c>
      <c r="G15">
        <v>30</v>
      </c>
      <c r="H15">
        <v>0.95</v>
      </c>
      <c r="I15" t="s">
        <v>57</v>
      </c>
      <c r="J15">
        <v>0</v>
      </c>
      <c r="K15">
        <v>0.7</v>
      </c>
      <c r="L15" t="s">
        <v>58</v>
      </c>
      <c r="M15">
        <v>20</v>
      </c>
      <c r="N15">
        <v>0.82</v>
      </c>
      <c r="O15">
        <v>26.2</v>
      </c>
    </row>
    <row r="16" spans="1:15" x14ac:dyDescent="0.3">
      <c r="A16">
        <v>3084221</v>
      </c>
      <c r="B16">
        <v>0.62</v>
      </c>
      <c r="C16" t="s">
        <v>59</v>
      </c>
      <c r="D16">
        <v>60</v>
      </c>
      <c r="E16">
        <v>0.88</v>
      </c>
      <c r="F16" t="s">
        <v>60</v>
      </c>
      <c r="G16">
        <v>30</v>
      </c>
      <c r="H16">
        <v>0.9</v>
      </c>
      <c r="I16" t="s">
        <v>61</v>
      </c>
      <c r="J16">
        <v>0</v>
      </c>
      <c r="K16">
        <v>0.65</v>
      </c>
      <c r="L16" t="s">
        <v>62</v>
      </c>
      <c r="M16">
        <v>20</v>
      </c>
      <c r="N16">
        <v>0.76</v>
      </c>
      <c r="O16">
        <v>27.5</v>
      </c>
    </row>
    <row r="17" spans="1:15" x14ac:dyDescent="0.3">
      <c r="A17">
        <v>3084222</v>
      </c>
      <c r="B17">
        <v>0.92</v>
      </c>
      <c r="C17" t="s">
        <v>63</v>
      </c>
      <c r="D17">
        <v>70</v>
      </c>
      <c r="E17">
        <v>1</v>
      </c>
      <c r="F17" t="s">
        <v>64</v>
      </c>
      <c r="G17">
        <v>50</v>
      </c>
      <c r="H17">
        <v>0.9</v>
      </c>
      <c r="I17" t="s">
        <v>65</v>
      </c>
      <c r="J17">
        <v>20</v>
      </c>
      <c r="K17">
        <v>0.95</v>
      </c>
      <c r="L17" t="s">
        <v>66</v>
      </c>
      <c r="M17">
        <v>30</v>
      </c>
      <c r="N17">
        <v>0.94</v>
      </c>
      <c r="O17">
        <v>42.5</v>
      </c>
    </row>
    <row r="18" spans="1:15" x14ac:dyDescent="0.3">
      <c r="A18">
        <v>3084224</v>
      </c>
      <c r="B18">
        <v>0.83</v>
      </c>
      <c r="C18" t="s">
        <v>67</v>
      </c>
      <c r="D18">
        <v>62</v>
      </c>
      <c r="E18">
        <v>1</v>
      </c>
      <c r="F18" t="s">
        <v>68</v>
      </c>
      <c r="G18">
        <v>40</v>
      </c>
      <c r="H18">
        <v>1</v>
      </c>
      <c r="I18" t="s">
        <v>69</v>
      </c>
      <c r="J18">
        <v>10</v>
      </c>
      <c r="K18">
        <v>0.85</v>
      </c>
      <c r="L18" t="s">
        <v>70</v>
      </c>
      <c r="M18">
        <v>25</v>
      </c>
      <c r="N18">
        <v>0.92</v>
      </c>
      <c r="O18">
        <v>34.200000000000003</v>
      </c>
    </row>
    <row r="19" spans="1:15" x14ac:dyDescent="0.3">
      <c r="A19">
        <v>3084225</v>
      </c>
      <c r="B19">
        <v>0</v>
      </c>
      <c r="C19" t="s">
        <v>18</v>
      </c>
      <c r="D19">
        <v>0</v>
      </c>
      <c r="E19">
        <v>0</v>
      </c>
      <c r="F19" t="s">
        <v>18</v>
      </c>
      <c r="G19">
        <v>0</v>
      </c>
      <c r="H19">
        <v>0</v>
      </c>
      <c r="I19" t="s">
        <v>18</v>
      </c>
      <c r="J19">
        <v>0</v>
      </c>
      <c r="K19">
        <v>0</v>
      </c>
      <c r="L19" t="s">
        <v>18</v>
      </c>
      <c r="M19">
        <v>0</v>
      </c>
      <c r="N19">
        <v>0</v>
      </c>
      <c r="O19">
        <v>0</v>
      </c>
    </row>
    <row r="20" spans="1:15" x14ac:dyDescent="0.3">
      <c r="A20">
        <v>3084226</v>
      </c>
      <c r="B20">
        <v>0</v>
      </c>
      <c r="C20" t="s">
        <v>18</v>
      </c>
      <c r="D20">
        <v>0</v>
      </c>
      <c r="E20">
        <v>0</v>
      </c>
      <c r="F20" t="s">
        <v>18</v>
      </c>
      <c r="G20">
        <v>0</v>
      </c>
      <c r="H20">
        <v>0</v>
      </c>
      <c r="I20" t="s">
        <v>18</v>
      </c>
      <c r="J20">
        <v>0</v>
      </c>
      <c r="K20">
        <v>0</v>
      </c>
      <c r="L20" t="s">
        <v>18</v>
      </c>
      <c r="M20">
        <v>0</v>
      </c>
      <c r="N20">
        <v>0</v>
      </c>
      <c r="O20">
        <v>0</v>
      </c>
    </row>
    <row r="21" spans="1:15" x14ac:dyDescent="0.3">
      <c r="A21">
        <v>3084227</v>
      </c>
      <c r="B21">
        <v>0.23</v>
      </c>
      <c r="C21" t="s">
        <v>71</v>
      </c>
      <c r="D21">
        <v>35</v>
      </c>
      <c r="E21">
        <v>0.25</v>
      </c>
      <c r="F21" t="s">
        <v>72</v>
      </c>
      <c r="G21">
        <v>20</v>
      </c>
      <c r="H21">
        <v>0.25</v>
      </c>
      <c r="I21" t="s">
        <v>73</v>
      </c>
      <c r="J21">
        <v>0</v>
      </c>
      <c r="K21">
        <v>0.5</v>
      </c>
      <c r="L21" t="s">
        <v>74</v>
      </c>
      <c r="M21">
        <v>20</v>
      </c>
      <c r="N21">
        <v>0.31</v>
      </c>
      <c r="O21">
        <v>18.8</v>
      </c>
    </row>
    <row r="22" spans="1:15" x14ac:dyDescent="0.3">
      <c r="A22">
        <v>3084228</v>
      </c>
      <c r="B22">
        <v>0.68</v>
      </c>
      <c r="C22" t="s">
        <v>75</v>
      </c>
      <c r="D22">
        <v>57</v>
      </c>
      <c r="E22">
        <v>0.88</v>
      </c>
      <c r="F22" t="s">
        <v>76</v>
      </c>
      <c r="G22">
        <v>30</v>
      </c>
      <c r="H22">
        <v>0.8</v>
      </c>
      <c r="I22" t="s">
        <v>77</v>
      </c>
      <c r="J22">
        <v>10</v>
      </c>
      <c r="K22">
        <v>0.75</v>
      </c>
      <c r="L22" t="s">
        <v>78</v>
      </c>
      <c r="M22">
        <v>20</v>
      </c>
      <c r="N22">
        <v>0.78</v>
      </c>
      <c r="O22">
        <v>29.2</v>
      </c>
    </row>
    <row r="23" spans="1:15" x14ac:dyDescent="0.3">
      <c r="A23">
        <v>3084229</v>
      </c>
      <c r="B23">
        <v>0.78</v>
      </c>
      <c r="C23" t="s">
        <v>79</v>
      </c>
      <c r="D23">
        <v>61</v>
      </c>
      <c r="E23">
        <v>0.94</v>
      </c>
      <c r="F23" t="s">
        <v>80</v>
      </c>
      <c r="G23">
        <v>30</v>
      </c>
      <c r="H23">
        <v>0.95</v>
      </c>
      <c r="I23" t="s">
        <v>81</v>
      </c>
      <c r="J23">
        <v>0</v>
      </c>
      <c r="K23">
        <v>0.7</v>
      </c>
      <c r="L23" t="s">
        <v>54</v>
      </c>
      <c r="M23">
        <v>15</v>
      </c>
      <c r="N23">
        <v>0.84</v>
      </c>
      <c r="O23">
        <v>26.5</v>
      </c>
    </row>
    <row r="24" spans="1:15" x14ac:dyDescent="0.3">
      <c r="A24">
        <v>3084230</v>
      </c>
      <c r="B24">
        <v>0.82</v>
      </c>
      <c r="C24" t="s">
        <v>82</v>
      </c>
      <c r="D24">
        <v>59</v>
      </c>
      <c r="E24">
        <v>1</v>
      </c>
      <c r="F24" t="s">
        <v>83</v>
      </c>
      <c r="G24">
        <v>50</v>
      </c>
      <c r="H24">
        <v>0.75</v>
      </c>
      <c r="I24" t="s">
        <v>84</v>
      </c>
      <c r="J24">
        <v>10</v>
      </c>
      <c r="K24">
        <v>0.8</v>
      </c>
      <c r="L24" t="s">
        <v>85</v>
      </c>
      <c r="M24">
        <v>25</v>
      </c>
      <c r="N24">
        <v>0.84</v>
      </c>
      <c r="O24">
        <v>36</v>
      </c>
    </row>
    <row r="25" spans="1:15" x14ac:dyDescent="0.3">
      <c r="A25">
        <v>3084232</v>
      </c>
      <c r="B25">
        <v>0.8</v>
      </c>
      <c r="C25" t="s">
        <v>86</v>
      </c>
      <c r="D25">
        <v>54</v>
      </c>
      <c r="E25">
        <v>0.94</v>
      </c>
      <c r="F25" t="s">
        <v>87</v>
      </c>
      <c r="G25">
        <v>35</v>
      </c>
      <c r="H25">
        <v>0.95</v>
      </c>
      <c r="I25" t="s">
        <v>88</v>
      </c>
      <c r="J25">
        <v>0</v>
      </c>
      <c r="K25">
        <v>0.85</v>
      </c>
      <c r="L25" t="s">
        <v>70</v>
      </c>
      <c r="M25">
        <v>25</v>
      </c>
      <c r="N25">
        <v>0.89</v>
      </c>
      <c r="O25">
        <v>28.5</v>
      </c>
    </row>
    <row r="26" spans="1:15" x14ac:dyDescent="0.3">
      <c r="A26">
        <v>3084234</v>
      </c>
      <c r="B26">
        <v>0.55000000000000004</v>
      </c>
      <c r="C26" t="s">
        <v>89</v>
      </c>
      <c r="D26">
        <v>34</v>
      </c>
      <c r="E26">
        <v>0.81</v>
      </c>
      <c r="F26" t="s">
        <v>90</v>
      </c>
      <c r="G26">
        <v>30</v>
      </c>
      <c r="H26">
        <v>0.8</v>
      </c>
      <c r="I26" t="s">
        <v>91</v>
      </c>
      <c r="J26">
        <v>0</v>
      </c>
      <c r="K26">
        <v>0.8</v>
      </c>
      <c r="L26" t="s">
        <v>92</v>
      </c>
      <c r="M26">
        <v>25</v>
      </c>
      <c r="N26">
        <v>0.74</v>
      </c>
      <c r="O26">
        <v>22.2</v>
      </c>
    </row>
    <row r="27" spans="1:15" x14ac:dyDescent="0.3">
      <c r="A27">
        <v>3084235</v>
      </c>
      <c r="B27">
        <v>0.3</v>
      </c>
      <c r="C27" t="s">
        <v>93</v>
      </c>
      <c r="D27">
        <v>22</v>
      </c>
      <c r="E27">
        <v>0.25</v>
      </c>
      <c r="F27" t="s">
        <v>94</v>
      </c>
      <c r="G27">
        <v>20</v>
      </c>
      <c r="H27">
        <v>0.2</v>
      </c>
      <c r="I27" t="s">
        <v>95</v>
      </c>
      <c r="J27">
        <v>0</v>
      </c>
      <c r="K27">
        <v>0.4</v>
      </c>
      <c r="L27" t="s">
        <v>96</v>
      </c>
      <c r="M27">
        <v>10</v>
      </c>
      <c r="N27">
        <v>0.28999999999999998</v>
      </c>
      <c r="O27">
        <v>13</v>
      </c>
    </row>
    <row r="28" spans="1:15" x14ac:dyDescent="0.3">
      <c r="A28">
        <v>3084236</v>
      </c>
      <c r="B28">
        <v>0.72</v>
      </c>
      <c r="C28" t="s">
        <v>97</v>
      </c>
      <c r="D28">
        <v>48</v>
      </c>
      <c r="E28">
        <v>0.94</v>
      </c>
      <c r="F28" t="s">
        <v>98</v>
      </c>
      <c r="G28">
        <v>35</v>
      </c>
      <c r="H28">
        <v>0.8</v>
      </c>
      <c r="I28" t="s">
        <v>99</v>
      </c>
      <c r="J28">
        <v>0</v>
      </c>
      <c r="K28">
        <v>0.85</v>
      </c>
      <c r="L28" t="s">
        <v>100</v>
      </c>
      <c r="M28">
        <v>25</v>
      </c>
      <c r="N28">
        <v>0.83</v>
      </c>
      <c r="O28">
        <v>27</v>
      </c>
    </row>
    <row r="29" spans="1:15" x14ac:dyDescent="0.3">
      <c r="A29">
        <v>3084237</v>
      </c>
      <c r="B29">
        <v>0.9</v>
      </c>
      <c r="C29" t="s">
        <v>101</v>
      </c>
      <c r="D29">
        <v>67</v>
      </c>
      <c r="E29">
        <v>1</v>
      </c>
      <c r="F29" t="s">
        <v>102</v>
      </c>
      <c r="G29">
        <v>50</v>
      </c>
      <c r="H29">
        <v>0.95</v>
      </c>
      <c r="I29" t="s">
        <v>103</v>
      </c>
      <c r="J29">
        <v>0</v>
      </c>
      <c r="K29">
        <v>0.9</v>
      </c>
      <c r="L29" t="s">
        <v>104</v>
      </c>
      <c r="M29">
        <v>30</v>
      </c>
      <c r="N29">
        <v>0.94</v>
      </c>
      <c r="O29">
        <v>36.799999999999997</v>
      </c>
    </row>
    <row r="30" spans="1:15" x14ac:dyDescent="0.3">
      <c r="A30">
        <v>3084238</v>
      </c>
      <c r="B30">
        <v>0</v>
      </c>
      <c r="C30" t="s">
        <v>18</v>
      </c>
      <c r="D30">
        <v>0</v>
      </c>
      <c r="E30">
        <v>0</v>
      </c>
      <c r="F30" t="s">
        <v>18</v>
      </c>
      <c r="G30">
        <v>0</v>
      </c>
      <c r="H30">
        <v>0</v>
      </c>
      <c r="I30" t="s">
        <v>18</v>
      </c>
      <c r="J30">
        <v>0</v>
      </c>
      <c r="K30">
        <v>0</v>
      </c>
      <c r="L30" t="s">
        <v>18</v>
      </c>
      <c r="M30">
        <v>0</v>
      </c>
      <c r="N30">
        <v>0</v>
      </c>
      <c r="O30">
        <v>0</v>
      </c>
    </row>
    <row r="31" spans="1:15" x14ac:dyDescent="0.3">
      <c r="A31">
        <v>3084239</v>
      </c>
      <c r="B31">
        <v>0.74</v>
      </c>
      <c r="C31" t="s">
        <v>105</v>
      </c>
      <c r="D31">
        <v>58</v>
      </c>
      <c r="E31">
        <v>0.88</v>
      </c>
      <c r="F31" t="s">
        <v>106</v>
      </c>
      <c r="G31">
        <v>25</v>
      </c>
      <c r="H31">
        <v>0.95</v>
      </c>
      <c r="I31" t="s">
        <v>107</v>
      </c>
      <c r="J31">
        <v>10</v>
      </c>
      <c r="K31">
        <v>0.65</v>
      </c>
      <c r="L31" t="s">
        <v>108</v>
      </c>
      <c r="M31">
        <v>20</v>
      </c>
      <c r="N31">
        <v>0.8</v>
      </c>
      <c r="O31">
        <v>28.2</v>
      </c>
    </row>
    <row r="32" spans="1:15" x14ac:dyDescent="0.3">
      <c r="A32">
        <v>3084240</v>
      </c>
      <c r="B32">
        <v>0.87</v>
      </c>
      <c r="C32" t="s">
        <v>109</v>
      </c>
      <c r="D32">
        <v>45</v>
      </c>
      <c r="E32">
        <v>1</v>
      </c>
      <c r="F32" t="s">
        <v>110</v>
      </c>
      <c r="G32">
        <v>45</v>
      </c>
      <c r="H32">
        <v>1</v>
      </c>
      <c r="I32" t="s">
        <v>111</v>
      </c>
      <c r="J32">
        <v>10</v>
      </c>
      <c r="K32">
        <v>1</v>
      </c>
      <c r="L32" t="s">
        <v>112</v>
      </c>
      <c r="M32">
        <v>75</v>
      </c>
      <c r="N32">
        <v>0.97</v>
      </c>
      <c r="O32">
        <v>43.8</v>
      </c>
    </row>
    <row r="33" spans="1:15" x14ac:dyDescent="0.3">
      <c r="A33">
        <v>3084242</v>
      </c>
      <c r="B33">
        <v>0.96</v>
      </c>
      <c r="C33" t="s">
        <v>113</v>
      </c>
      <c r="D33">
        <v>60</v>
      </c>
      <c r="E33">
        <v>1</v>
      </c>
      <c r="F33" t="s">
        <v>114</v>
      </c>
      <c r="G33">
        <v>50</v>
      </c>
      <c r="H33">
        <v>1</v>
      </c>
      <c r="I33" t="s">
        <v>115</v>
      </c>
      <c r="J33">
        <v>20</v>
      </c>
      <c r="K33">
        <v>1</v>
      </c>
      <c r="L33" t="s">
        <v>116</v>
      </c>
      <c r="M33">
        <v>80</v>
      </c>
      <c r="N33">
        <v>0.99</v>
      </c>
      <c r="O33">
        <v>52.5</v>
      </c>
    </row>
    <row r="34" spans="1:15" x14ac:dyDescent="0.3">
      <c r="A34">
        <v>3084244</v>
      </c>
      <c r="B34">
        <v>0.99</v>
      </c>
      <c r="C34" t="s">
        <v>117</v>
      </c>
      <c r="D34">
        <v>70</v>
      </c>
      <c r="E34">
        <v>1</v>
      </c>
      <c r="F34" t="s">
        <v>118</v>
      </c>
      <c r="G34">
        <v>55</v>
      </c>
      <c r="H34">
        <v>1</v>
      </c>
      <c r="I34" t="s">
        <v>119</v>
      </c>
      <c r="J34">
        <v>40</v>
      </c>
      <c r="K34">
        <v>1</v>
      </c>
      <c r="L34" t="s">
        <v>120</v>
      </c>
      <c r="M34">
        <v>85</v>
      </c>
      <c r="N34">
        <v>1</v>
      </c>
      <c r="O34">
        <v>62.5</v>
      </c>
    </row>
    <row r="35" spans="1:15" x14ac:dyDescent="0.3">
      <c r="A35">
        <v>3084245</v>
      </c>
      <c r="B35">
        <v>0.92</v>
      </c>
      <c r="C35" t="s">
        <v>121</v>
      </c>
      <c r="D35">
        <v>65</v>
      </c>
      <c r="E35">
        <v>1</v>
      </c>
      <c r="F35" t="s">
        <v>122</v>
      </c>
      <c r="G35">
        <v>45</v>
      </c>
      <c r="H35">
        <v>1</v>
      </c>
      <c r="I35" t="s">
        <v>123</v>
      </c>
      <c r="J35">
        <v>15</v>
      </c>
      <c r="K35">
        <v>0.9</v>
      </c>
      <c r="L35" t="s">
        <v>124</v>
      </c>
      <c r="M35">
        <v>70</v>
      </c>
      <c r="N35">
        <v>0.96</v>
      </c>
      <c r="O35">
        <v>48.8</v>
      </c>
    </row>
    <row r="36" spans="1:15" x14ac:dyDescent="0.3">
      <c r="A36">
        <v>3084246</v>
      </c>
      <c r="B36">
        <v>0.88</v>
      </c>
      <c r="C36" t="s">
        <v>125</v>
      </c>
      <c r="D36">
        <v>40</v>
      </c>
      <c r="E36">
        <v>1</v>
      </c>
      <c r="F36" t="s">
        <v>126</v>
      </c>
      <c r="G36">
        <v>40</v>
      </c>
      <c r="H36">
        <v>1</v>
      </c>
      <c r="I36" t="s">
        <v>127</v>
      </c>
      <c r="J36">
        <v>5</v>
      </c>
      <c r="K36">
        <v>0.95</v>
      </c>
      <c r="L36" t="s">
        <v>128</v>
      </c>
      <c r="M36">
        <v>65</v>
      </c>
      <c r="N36">
        <v>0.96</v>
      </c>
      <c r="O36">
        <v>37.5</v>
      </c>
    </row>
    <row r="37" spans="1:15" x14ac:dyDescent="0.3">
      <c r="A37">
        <v>3084248</v>
      </c>
      <c r="B37">
        <v>0.15</v>
      </c>
      <c r="C37" t="s">
        <v>129</v>
      </c>
      <c r="D37">
        <v>20</v>
      </c>
      <c r="E37">
        <v>0.25</v>
      </c>
      <c r="F37" t="s">
        <v>130</v>
      </c>
      <c r="G37">
        <v>35</v>
      </c>
      <c r="H37">
        <v>0.1</v>
      </c>
      <c r="I37" t="s">
        <v>131</v>
      </c>
      <c r="J37">
        <v>0</v>
      </c>
      <c r="K37">
        <v>0.1</v>
      </c>
      <c r="L37" t="s">
        <v>132</v>
      </c>
      <c r="M37">
        <v>20</v>
      </c>
      <c r="N37">
        <v>0.15</v>
      </c>
      <c r="O37">
        <v>18.8</v>
      </c>
    </row>
    <row r="38" spans="1:15" x14ac:dyDescent="0.3">
      <c r="A38">
        <v>3084249</v>
      </c>
      <c r="B38">
        <v>0.9</v>
      </c>
      <c r="C38" t="s">
        <v>133</v>
      </c>
      <c r="D38">
        <v>55</v>
      </c>
      <c r="E38">
        <v>1</v>
      </c>
      <c r="F38" t="s">
        <v>134</v>
      </c>
      <c r="G38">
        <v>50</v>
      </c>
      <c r="H38">
        <v>1</v>
      </c>
      <c r="I38" t="s">
        <v>135</v>
      </c>
      <c r="J38">
        <v>10</v>
      </c>
      <c r="K38">
        <v>0.75</v>
      </c>
      <c r="L38" t="s">
        <v>136</v>
      </c>
      <c r="M38">
        <v>60</v>
      </c>
      <c r="N38">
        <v>0.91</v>
      </c>
      <c r="O38">
        <v>43.8</v>
      </c>
    </row>
    <row r="39" spans="1:15" x14ac:dyDescent="0.3">
      <c r="A39">
        <v>3084250</v>
      </c>
      <c r="B39">
        <v>0</v>
      </c>
      <c r="C39" t="s">
        <v>18</v>
      </c>
      <c r="D39">
        <v>0</v>
      </c>
      <c r="E39">
        <v>0</v>
      </c>
      <c r="F39" t="s">
        <v>18</v>
      </c>
      <c r="G39">
        <v>0</v>
      </c>
      <c r="H39">
        <v>0</v>
      </c>
      <c r="I39" t="s">
        <v>18</v>
      </c>
      <c r="J39">
        <v>0</v>
      </c>
      <c r="K39">
        <v>0</v>
      </c>
      <c r="L39" t="s">
        <v>18</v>
      </c>
      <c r="M39">
        <v>0</v>
      </c>
      <c r="N39">
        <v>0</v>
      </c>
      <c r="O39">
        <v>0</v>
      </c>
    </row>
    <row r="40" spans="1:15" x14ac:dyDescent="0.3">
      <c r="A40">
        <v>3084252</v>
      </c>
      <c r="B40">
        <v>0.72</v>
      </c>
      <c r="C40" t="s">
        <v>137</v>
      </c>
      <c r="D40">
        <v>35</v>
      </c>
      <c r="E40">
        <v>0.88</v>
      </c>
      <c r="F40" t="s">
        <v>138</v>
      </c>
      <c r="G40">
        <v>40</v>
      </c>
      <c r="H40">
        <v>0.9</v>
      </c>
      <c r="I40" t="s">
        <v>139</v>
      </c>
      <c r="J40">
        <v>5</v>
      </c>
      <c r="K40">
        <v>0.8</v>
      </c>
      <c r="L40" t="s">
        <v>140</v>
      </c>
      <c r="M40">
        <v>70</v>
      </c>
      <c r="N40">
        <v>0.82</v>
      </c>
      <c r="O40">
        <v>37.5</v>
      </c>
    </row>
    <row r="41" spans="1:15" x14ac:dyDescent="0.3">
      <c r="A41">
        <v>3084254</v>
      </c>
      <c r="B41">
        <v>0.85</v>
      </c>
      <c r="C41" t="s">
        <v>141</v>
      </c>
      <c r="D41">
        <v>55</v>
      </c>
      <c r="E41">
        <v>0.88</v>
      </c>
      <c r="F41" t="s">
        <v>142</v>
      </c>
      <c r="G41">
        <v>45</v>
      </c>
      <c r="H41">
        <v>1</v>
      </c>
      <c r="I41" t="s">
        <v>143</v>
      </c>
      <c r="J41">
        <v>10</v>
      </c>
      <c r="K41">
        <v>0.85</v>
      </c>
      <c r="L41" t="s">
        <v>144</v>
      </c>
      <c r="M41">
        <v>75</v>
      </c>
      <c r="N41">
        <v>0.9</v>
      </c>
      <c r="O41">
        <v>46.2</v>
      </c>
    </row>
    <row r="42" spans="1:15" x14ac:dyDescent="0.3">
      <c r="A42">
        <v>3084256</v>
      </c>
      <c r="B42">
        <v>0.48</v>
      </c>
      <c r="C42" t="s">
        <v>145</v>
      </c>
      <c r="D42">
        <v>25</v>
      </c>
      <c r="E42">
        <v>0.75</v>
      </c>
      <c r="F42" t="s">
        <v>146</v>
      </c>
      <c r="G42">
        <v>35</v>
      </c>
      <c r="H42">
        <v>0.6</v>
      </c>
      <c r="I42" t="s">
        <v>147</v>
      </c>
      <c r="J42">
        <v>5</v>
      </c>
      <c r="K42">
        <v>0.65</v>
      </c>
      <c r="L42" t="s">
        <v>148</v>
      </c>
      <c r="M42">
        <v>50</v>
      </c>
      <c r="N42">
        <v>0.62</v>
      </c>
      <c r="O42">
        <v>28.8</v>
      </c>
    </row>
    <row r="43" spans="1:15" x14ac:dyDescent="0.3">
      <c r="A43">
        <v>3084257</v>
      </c>
      <c r="B43">
        <v>0.7</v>
      </c>
      <c r="C43" t="s">
        <v>149</v>
      </c>
      <c r="D43">
        <v>40</v>
      </c>
      <c r="E43">
        <v>0.88</v>
      </c>
      <c r="F43" t="s">
        <v>150</v>
      </c>
      <c r="G43">
        <v>40</v>
      </c>
      <c r="H43">
        <v>0.8</v>
      </c>
      <c r="I43" t="s">
        <v>151</v>
      </c>
      <c r="J43">
        <v>10</v>
      </c>
      <c r="K43">
        <v>0.85</v>
      </c>
      <c r="L43" t="s">
        <v>152</v>
      </c>
      <c r="M43">
        <v>80</v>
      </c>
      <c r="N43">
        <v>0.81</v>
      </c>
      <c r="O43">
        <v>42.5</v>
      </c>
    </row>
    <row r="44" spans="1:15" x14ac:dyDescent="0.3">
      <c r="A44">
        <v>3084258</v>
      </c>
      <c r="B44">
        <v>0.72</v>
      </c>
      <c r="C44" t="s">
        <v>153</v>
      </c>
      <c r="D44">
        <v>50</v>
      </c>
      <c r="E44">
        <v>0.75</v>
      </c>
      <c r="F44" t="s">
        <v>154</v>
      </c>
      <c r="G44">
        <v>55</v>
      </c>
      <c r="H44">
        <v>0.9</v>
      </c>
      <c r="I44" t="s">
        <v>155</v>
      </c>
      <c r="J44">
        <v>0</v>
      </c>
      <c r="K44">
        <v>0.75</v>
      </c>
      <c r="L44" t="s">
        <v>156</v>
      </c>
      <c r="M44">
        <v>60</v>
      </c>
      <c r="N44">
        <v>0.78</v>
      </c>
      <c r="O44">
        <v>41.2</v>
      </c>
    </row>
    <row r="45" spans="1:15" x14ac:dyDescent="0.3">
      <c r="A45">
        <v>3084260</v>
      </c>
      <c r="B45">
        <v>0.87</v>
      </c>
      <c r="C45" t="s">
        <v>157</v>
      </c>
      <c r="D45">
        <v>55</v>
      </c>
      <c r="E45">
        <v>1</v>
      </c>
      <c r="F45" t="s">
        <v>158</v>
      </c>
      <c r="G45">
        <v>50</v>
      </c>
      <c r="H45">
        <v>1</v>
      </c>
      <c r="I45" t="s">
        <v>159</v>
      </c>
      <c r="J45">
        <v>30</v>
      </c>
      <c r="K45">
        <v>0.9</v>
      </c>
      <c r="L45" t="s">
        <v>160</v>
      </c>
      <c r="M45">
        <v>80</v>
      </c>
      <c r="N45">
        <v>0.94</v>
      </c>
      <c r="O45">
        <v>53.8</v>
      </c>
    </row>
    <row r="46" spans="1:15" x14ac:dyDescent="0.3">
      <c r="A46">
        <v>3084261</v>
      </c>
      <c r="B46">
        <v>0.65</v>
      </c>
      <c r="C46" t="s">
        <v>161</v>
      </c>
      <c r="D46">
        <v>30</v>
      </c>
      <c r="E46">
        <v>0.75</v>
      </c>
      <c r="F46" t="s">
        <v>162</v>
      </c>
      <c r="G46">
        <v>45</v>
      </c>
      <c r="H46">
        <v>0.75</v>
      </c>
      <c r="I46" t="s">
        <v>163</v>
      </c>
      <c r="J46">
        <v>20</v>
      </c>
      <c r="K46">
        <v>0.7</v>
      </c>
      <c r="L46" t="s">
        <v>164</v>
      </c>
      <c r="M46">
        <v>70</v>
      </c>
      <c r="N46">
        <v>0.71</v>
      </c>
      <c r="O46">
        <v>41.2</v>
      </c>
    </row>
    <row r="47" spans="1:15" x14ac:dyDescent="0.3">
      <c r="A47">
        <v>3084263</v>
      </c>
      <c r="B47">
        <v>0.83</v>
      </c>
      <c r="C47" t="s">
        <v>165</v>
      </c>
      <c r="D47">
        <v>45</v>
      </c>
      <c r="E47">
        <v>1</v>
      </c>
      <c r="F47" t="s">
        <v>166</v>
      </c>
      <c r="G47">
        <v>45</v>
      </c>
      <c r="H47">
        <v>1</v>
      </c>
      <c r="I47" t="s">
        <v>167</v>
      </c>
      <c r="J47">
        <v>30</v>
      </c>
      <c r="K47">
        <v>0.9</v>
      </c>
      <c r="L47" t="s">
        <v>160</v>
      </c>
      <c r="M47">
        <v>75</v>
      </c>
      <c r="N47">
        <v>0.93</v>
      </c>
      <c r="O47">
        <v>48.8</v>
      </c>
    </row>
    <row r="48" spans="1:15" x14ac:dyDescent="0.3">
      <c r="A48">
        <v>3084265</v>
      </c>
      <c r="B48">
        <v>0.61</v>
      </c>
      <c r="C48" t="s">
        <v>168</v>
      </c>
      <c r="D48">
        <v>35</v>
      </c>
      <c r="E48">
        <v>0.75</v>
      </c>
      <c r="F48" t="s">
        <v>169</v>
      </c>
      <c r="G48">
        <v>40</v>
      </c>
      <c r="H48">
        <v>0.95</v>
      </c>
      <c r="I48" t="s">
        <v>170</v>
      </c>
      <c r="J48">
        <v>10</v>
      </c>
      <c r="K48">
        <v>0.75</v>
      </c>
      <c r="L48" t="s">
        <v>171</v>
      </c>
      <c r="M48">
        <v>65</v>
      </c>
      <c r="N48">
        <v>0.77</v>
      </c>
      <c r="O48">
        <v>37.5</v>
      </c>
    </row>
    <row r="49" spans="1:15" x14ac:dyDescent="0.3">
      <c r="A49">
        <v>3084266</v>
      </c>
      <c r="B49">
        <v>0.68</v>
      </c>
      <c r="C49" t="s">
        <v>172</v>
      </c>
      <c r="D49">
        <v>55</v>
      </c>
      <c r="E49">
        <v>0.75</v>
      </c>
      <c r="F49" t="s">
        <v>173</v>
      </c>
      <c r="G49">
        <v>35</v>
      </c>
      <c r="H49">
        <v>0.95</v>
      </c>
      <c r="I49" t="s">
        <v>174</v>
      </c>
      <c r="J49">
        <v>15</v>
      </c>
      <c r="K49">
        <v>0.75</v>
      </c>
      <c r="L49" t="s">
        <v>175</v>
      </c>
      <c r="M49">
        <v>85</v>
      </c>
      <c r="N49">
        <v>0.78</v>
      </c>
      <c r="O49">
        <v>47.5</v>
      </c>
    </row>
    <row r="50" spans="1:15" x14ac:dyDescent="0.3">
      <c r="A50">
        <v>3084269</v>
      </c>
      <c r="B50">
        <v>0</v>
      </c>
      <c r="C50" t="s">
        <v>18</v>
      </c>
      <c r="D50">
        <v>0</v>
      </c>
      <c r="E50">
        <v>0</v>
      </c>
      <c r="F50" t="s">
        <v>18</v>
      </c>
      <c r="G50">
        <v>0</v>
      </c>
      <c r="H50">
        <v>0</v>
      </c>
      <c r="I50" t="s">
        <v>18</v>
      </c>
      <c r="J50">
        <v>0</v>
      </c>
      <c r="K50">
        <v>0</v>
      </c>
      <c r="L50" t="s">
        <v>18</v>
      </c>
      <c r="M50">
        <v>0</v>
      </c>
      <c r="N50">
        <v>0</v>
      </c>
      <c r="O50">
        <v>0</v>
      </c>
    </row>
    <row r="51" spans="1:15" x14ac:dyDescent="0.3">
      <c r="A51">
        <v>3084270</v>
      </c>
      <c r="B51">
        <v>0.85</v>
      </c>
      <c r="C51" t="s">
        <v>176</v>
      </c>
      <c r="D51">
        <v>50</v>
      </c>
      <c r="E51">
        <v>1</v>
      </c>
      <c r="F51" t="s">
        <v>177</v>
      </c>
      <c r="G51">
        <v>45</v>
      </c>
      <c r="H51">
        <v>1</v>
      </c>
      <c r="I51" t="s">
        <v>178</v>
      </c>
      <c r="J51">
        <v>65</v>
      </c>
      <c r="K51">
        <v>0.9</v>
      </c>
      <c r="L51" t="s">
        <v>160</v>
      </c>
      <c r="M51">
        <v>80</v>
      </c>
      <c r="N51">
        <v>0.94</v>
      </c>
      <c r="O51">
        <v>60</v>
      </c>
    </row>
    <row r="52" spans="1:15" x14ac:dyDescent="0.3">
      <c r="A52">
        <v>3084271</v>
      </c>
      <c r="B52">
        <v>0.78</v>
      </c>
      <c r="C52" t="s">
        <v>179</v>
      </c>
      <c r="D52">
        <v>45</v>
      </c>
      <c r="E52">
        <v>0.88</v>
      </c>
      <c r="F52" t="s">
        <v>180</v>
      </c>
      <c r="G52">
        <v>45</v>
      </c>
      <c r="H52">
        <v>0.95</v>
      </c>
      <c r="I52" t="s">
        <v>181</v>
      </c>
      <c r="J52">
        <v>10</v>
      </c>
      <c r="K52">
        <v>0.85</v>
      </c>
      <c r="L52" t="s">
        <v>152</v>
      </c>
      <c r="M52">
        <v>70</v>
      </c>
      <c r="N52">
        <v>0.86</v>
      </c>
      <c r="O52">
        <v>42.5</v>
      </c>
    </row>
    <row r="53" spans="1:15" x14ac:dyDescent="0.3">
      <c r="A53">
        <v>3084272</v>
      </c>
      <c r="B53">
        <v>0.9</v>
      </c>
      <c r="C53" t="s">
        <v>182</v>
      </c>
      <c r="D53">
        <v>55</v>
      </c>
      <c r="E53">
        <v>1</v>
      </c>
      <c r="F53" t="s">
        <v>183</v>
      </c>
      <c r="G53">
        <v>45</v>
      </c>
      <c r="H53">
        <v>1</v>
      </c>
      <c r="I53" t="s">
        <v>184</v>
      </c>
      <c r="J53">
        <v>30</v>
      </c>
      <c r="K53">
        <v>0.85</v>
      </c>
      <c r="L53" t="s">
        <v>185</v>
      </c>
      <c r="M53">
        <v>75</v>
      </c>
      <c r="N53">
        <v>0.94</v>
      </c>
      <c r="O53">
        <v>51.2</v>
      </c>
    </row>
    <row r="54" spans="1:15" x14ac:dyDescent="0.3">
      <c r="A54">
        <v>3084274</v>
      </c>
      <c r="B54">
        <v>0.89</v>
      </c>
      <c r="C54" t="s">
        <v>186</v>
      </c>
      <c r="D54">
        <v>50</v>
      </c>
      <c r="E54">
        <v>1</v>
      </c>
      <c r="F54" t="s">
        <v>187</v>
      </c>
      <c r="G54">
        <v>50</v>
      </c>
      <c r="H54">
        <v>0.85</v>
      </c>
      <c r="I54" t="s">
        <v>188</v>
      </c>
      <c r="J54">
        <v>10</v>
      </c>
      <c r="K54">
        <v>0.95</v>
      </c>
      <c r="L54" t="s">
        <v>189</v>
      </c>
      <c r="M54">
        <v>70</v>
      </c>
      <c r="N54">
        <v>0.92</v>
      </c>
      <c r="O54">
        <v>45</v>
      </c>
    </row>
    <row r="55" spans="1:15" x14ac:dyDescent="0.3">
      <c r="A55">
        <v>3084275</v>
      </c>
      <c r="B55">
        <v>0.77</v>
      </c>
      <c r="C55" t="s">
        <v>190</v>
      </c>
      <c r="D55">
        <v>35</v>
      </c>
      <c r="E55">
        <v>0.75</v>
      </c>
      <c r="F55" t="s">
        <v>191</v>
      </c>
      <c r="G55">
        <v>40</v>
      </c>
      <c r="H55">
        <v>0.8</v>
      </c>
      <c r="I55" t="s">
        <v>192</v>
      </c>
      <c r="J55">
        <v>5</v>
      </c>
      <c r="K55">
        <v>0.75</v>
      </c>
      <c r="L55" t="s">
        <v>193</v>
      </c>
      <c r="M55">
        <v>65</v>
      </c>
      <c r="N55">
        <v>0.77</v>
      </c>
      <c r="O55">
        <v>36.200000000000003</v>
      </c>
    </row>
    <row r="56" spans="1:15" x14ac:dyDescent="0.3">
      <c r="A56">
        <v>3084277</v>
      </c>
      <c r="B56">
        <v>0</v>
      </c>
      <c r="C56" t="s">
        <v>18</v>
      </c>
      <c r="D56">
        <v>0</v>
      </c>
      <c r="E56">
        <v>0</v>
      </c>
      <c r="F56" t="s">
        <v>18</v>
      </c>
      <c r="G56">
        <v>0</v>
      </c>
      <c r="H56">
        <v>0</v>
      </c>
      <c r="I56" t="s">
        <v>18</v>
      </c>
      <c r="J56">
        <v>0</v>
      </c>
      <c r="K56">
        <v>0</v>
      </c>
      <c r="L56" t="s">
        <v>18</v>
      </c>
      <c r="M56">
        <v>0</v>
      </c>
      <c r="N56">
        <v>0</v>
      </c>
      <c r="O56">
        <v>0</v>
      </c>
    </row>
    <row r="57" spans="1:15" x14ac:dyDescent="0.3">
      <c r="A57">
        <v>3084278</v>
      </c>
      <c r="B57">
        <v>0.53</v>
      </c>
      <c r="C57" t="s">
        <v>194</v>
      </c>
      <c r="D57">
        <v>20</v>
      </c>
      <c r="E57">
        <v>0.75</v>
      </c>
      <c r="F57" t="s">
        <v>195</v>
      </c>
      <c r="G57">
        <v>35</v>
      </c>
      <c r="H57">
        <v>0.8</v>
      </c>
      <c r="I57" t="s">
        <v>196</v>
      </c>
      <c r="J57">
        <v>0</v>
      </c>
      <c r="K57">
        <v>0.6</v>
      </c>
      <c r="L57" t="s">
        <v>197</v>
      </c>
      <c r="M57">
        <v>60</v>
      </c>
      <c r="N57">
        <v>0.67</v>
      </c>
      <c r="O57">
        <v>28.8</v>
      </c>
    </row>
    <row r="58" spans="1:15" x14ac:dyDescent="0.3">
      <c r="A58">
        <v>3084279</v>
      </c>
      <c r="B58">
        <v>0.8</v>
      </c>
      <c r="C58" t="s">
        <v>198</v>
      </c>
      <c r="D58">
        <v>55</v>
      </c>
      <c r="E58">
        <v>1</v>
      </c>
      <c r="F58" t="s">
        <v>199</v>
      </c>
      <c r="G58">
        <v>45</v>
      </c>
      <c r="H58">
        <v>1</v>
      </c>
      <c r="I58" t="s">
        <v>200</v>
      </c>
      <c r="J58">
        <v>20</v>
      </c>
      <c r="K58">
        <v>0.9</v>
      </c>
      <c r="L58" t="s">
        <v>160</v>
      </c>
      <c r="M58">
        <v>80</v>
      </c>
      <c r="N58">
        <v>0.93</v>
      </c>
      <c r="O58">
        <v>50</v>
      </c>
    </row>
    <row r="59" spans="1:15" x14ac:dyDescent="0.3">
      <c r="A59">
        <v>3084280</v>
      </c>
      <c r="B59">
        <v>0</v>
      </c>
      <c r="C59" t="s">
        <v>18</v>
      </c>
      <c r="D59">
        <v>0</v>
      </c>
      <c r="E59">
        <v>0</v>
      </c>
      <c r="F59" t="s">
        <v>18</v>
      </c>
      <c r="G59">
        <v>0</v>
      </c>
      <c r="H59">
        <v>0</v>
      </c>
      <c r="I59" t="s">
        <v>18</v>
      </c>
      <c r="J59">
        <v>0</v>
      </c>
      <c r="K59">
        <v>0</v>
      </c>
      <c r="L59" t="s">
        <v>18</v>
      </c>
      <c r="M59">
        <v>0</v>
      </c>
      <c r="N59">
        <v>0</v>
      </c>
      <c r="O59">
        <v>0</v>
      </c>
    </row>
    <row r="60" spans="1:15" x14ac:dyDescent="0.3">
      <c r="A60">
        <v>3084282</v>
      </c>
      <c r="B60">
        <v>0</v>
      </c>
      <c r="C60" t="s">
        <v>18</v>
      </c>
      <c r="D60">
        <v>0</v>
      </c>
      <c r="E60">
        <v>0</v>
      </c>
      <c r="F60" t="s">
        <v>18</v>
      </c>
      <c r="G60">
        <v>0</v>
      </c>
      <c r="H60">
        <v>0</v>
      </c>
      <c r="I60" t="s">
        <v>18</v>
      </c>
      <c r="J60">
        <v>0</v>
      </c>
      <c r="K60">
        <v>0</v>
      </c>
      <c r="L60" t="s">
        <v>18</v>
      </c>
      <c r="M60">
        <v>0</v>
      </c>
      <c r="N60">
        <v>0</v>
      </c>
      <c r="O60">
        <v>0</v>
      </c>
    </row>
    <row r="61" spans="1:15" x14ac:dyDescent="0.3">
      <c r="A61">
        <v>3084283</v>
      </c>
      <c r="B61">
        <v>0.5</v>
      </c>
      <c r="C61" t="s">
        <v>201</v>
      </c>
      <c r="D61">
        <v>25</v>
      </c>
      <c r="E61">
        <v>0.63</v>
      </c>
      <c r="F61" t="s">
        <v>202</v>
      </c>
      <c r="G61">
        <v>35</v>
      </c>
      <c r="H61">
        <v>0.65</v>
      </c>
      <c r="I61" t="s">
        <v>203</v>
      </c>
      <c r="J61">
        <v>0</v>
      </c>
      <c r="K61">
        <v>0.8</v>
      </c>
      <c r="L61" t="s">
        <v>152</v>
      </c>
      <c r="M61">
        <v>70</v>
      </c>
      <c r="N61">
        <v>0.65</v>
      </c>
      <c r="O61">
        <v>32.5</v>
      </c>
    </row>
    <row r="62" spans="1:15" x14ac:dyDescent="0.3">
      <c r="A62">
        <v>3084285</v>
      </c>
      <c r="B62">
        <v>0.89</v>
      </c>
      <c r="C62" t="s">
        <v>204</v>
      </c>
      <c r="D62">
        <v>70</v>
      </c>
      <c r="E62">
        <v>1</v>
      </c>
      <c r="F62" t="s">
        <v>205</v>
      </c>
      <c r="G62">
        <v>65</v>
      </c>
      <c r="H62">
        <v>0.85</v>
      </c>
      <c r="I62" t="s">
        <v>206</v>
      </c>
      <c r="J62">
        <v>10</v>
      </c>
      <c r="K62">
        <v>0.95</v>
      </c>
      <c r="L62" t="s">
        <v>207</v>
      </c>
      <c r="M62">
        <v>75</v>
      </c>
      <c r="N62">
        <v>0.92</v>
      </c>
      <c r="O62">
        <v>55</v>
      </c>
    </row>
    <row r="63" spans="1:15" x14ac:dyDescent="0.3">
      <c r="A63">
        <v>3084287</v>
      </c>
      <c r="B63">
        <v>0.75</v>
      </c>
      <c r="C63" t="s">
        <v>208</v>
      </c>
      <c r="D63">
        <v>55</v>
      </c>
      <c r="E63">
        <v>0.8</v>
      </c>
      <c r="F63" t="s">
        <v>209</v>
      </c>
      <c r="G63">
        <v>40</v>
      </c>
      <c r="H63">
        <v>0.8</v>
      </c>
      <c r="I63" t="s">
        <v>210</v>
      </c>
      <c r="J63">
        <v>0</v>
      </c>
      <c r="K63">
        <v>0.8</v>
      </c>
      <c r="L63" t="s">
        <v>211</v>
      </c>
      <c r="M63">
        <v>60</v>
      </c>
      <c r="N63">
        <v>0.79</v>
      </c>
      <c r="O63">
        <v>38.799999999999997</v>
      </c>
    </row>
    <row r="64" spans="1:15" x14ac:dyDescent="0.3">
      <c r="A64">
        <v>3084292</v>
      </c>
      <c r="B64">
        <v>0.87</v>
      </c>
      <c r="C64" t="s">
        <v>212</v>
      </c>
      <c r="D64">
        <v>75</v>
      </c>
      <c r="E64">
        <v>1</v>
      </c>
      <c r="F64" t="s">
        <v>213</v>
      </c>
      <c r="G64">
        <v>60</v>
      </c>
      <c r="H64">
        <v>0.85</v>
      </c>
      <c r="I64" t="s">
        <v>214</v>
      </c>
      <c r="J64">
        <v>10</v>
      </c>
      <c r="K64">
        <v>0.93</v>
      </c>
      <c r="L64" t="s">
        <v>215</v>
      </c>
      <c r="M64">
        <v>80</v>
      </c>
      <c r="N64">
        <v>0.91</v>
      </c>
      <c r="O64">
        <v>56.2</v>
      </c>
    </row>
    <row r="65" spans="1:15" x14ac:dyDescent="0.3">
      <c r="A65">
        <v>3084294</v>
      </c>
      <c r="B65">
        <v>0.73</v>
      </c>
      <c r="C65" t="s">
        <v>216</v>
      </c>
      <c r="D65">
        <v>60</v>
      </c>
      <c r="E65">
        <v>0.95</v>
      </c>
      <c r="F65" t="s">
        <v>217</v>
      </c>
      <c r="G65">
        <v>45</v>
      </c>
      <c r="H65">
        <v>0.85</v>
      </c>
      <c r="I65" t="s">
        <v>218</v>
      </c>
      <c r="J65">
        <v>0</v>
      </c>
      <c r="K65">
        <v>0.88</v>
      </c>
      <c r="L65" t="s">
        <v>219</v>
      </c>
      <c r="M65">
        <v>70</v>
      </c>
      <c r="N65">
        <v>0.85</v>
      </c>
      <c r="O65">
        <v>43.8</v>
      </c>
    </row>
    <row r="66" spans="1:15" x14ac:dyDescent="0.3">
      <c r="A66">
        <v>3084296</v>
      </c>
      <c r="B66">
        <v>0.95</v>
      </c>
      <c r="C66" t="s">
        <v>220</v>
      </c>
      <c r="D66">
        <v>80</v>
      </c>
      <c r="E66">
        <v>1</v>
      </c>
      <c r="F66" t="s">
        <v>221</v>
      </c>
      <c r="G66">
        <v>80</v>
      </c>
      <c r="H66">
        <v>1</v>
      </c>
      <c r="I66" t="s">
        <v>222</v>
      </c>
      <c r="J66">
        <v>50</v>
      </c>
      <c r="K66">
        <v>0.98</v>
      </c>
      <c r="L66" t="s">
        <v>223</v>
      </c>
      <c r="M66">
        <v>85</v>
      </c>
      <c r="N66">
        <v>0.98</v>
      </c>
      <c r="O66">
        <v>73.8</v>
      </c>
    </row>
    <row r="67" spans="1:15" x14ac:dyDescent="0.3">
      <c r="A67">
        <v>3084297</v>
      </c>
      <c r="B67">
        <v>0</v>
      </c>
      <c r="C67" t="s">
        <v>18</v>
      </c>
      <c r="D67">
        <v>0</v>
      </c>
      <c r="E67">
        <v>0</v>
      </c>
      <c r="F67" t="s">
        <v>18</v>
      </c>
      <c r="G67">
        <v>0</v>
      </c>
      <c r="H67">
        <v>0</v>
      </c>
      <c r="I67" t="s">
        <v>18</v>
      </c>
      <c r="J67">
        <v>0</v>
      </c>
      <c r="K67">
        <v>0</v>
      </c>
      <c r="L67" t="s">
        <v>18</v>
      </c>
      <c r="M67">
        <v>0</v>
      </c>
      <c r="N67">
        <v>0</v>
      </c>
      <c r="O67">
        <v>0</v>
      </c>
    </row>
    <row r="68" spans="1:15" x14ac:dyDescent="0.3">
      <c r="A68">
        <v>3084298</v>
      </c>
      <c r="B68">
        <v>0.55000000000000004</v>
      </c>
      <c r="C68" t="s">
        <v>224</v>
      </c>
      <c r="D68">
        <v>50</v>
      </c>
      <c r="E68">
        <v>0.7</v>
      </c>
      <c r="F68" t="s">
        <v>225</v>
      </c>
      <c r="G68">
        <v>35</v>
      </c>
      <c r="H68">
        <v>0.75</v>
      </c>
      <c r="I68" t="s">
        <v>226</v>
      </c>
      <c r="J68">
        <v>0</v>
      </c>
      <c r="K68">
        <v>0.65</v>
      </c>
      <c r="L68" t="s">
        <v>227</v>
      </c>
      <c r="M68">
        <v>50</v>
      </c>
      <c r="N68">
        <v>0.66</v>
      </c>
      <c r="O68">
        <v>33.799999999999997</v>
      </c>
    </row>
    <row r="69" spans="1:15" x14ac:dyDescent="0.3">
      <c r="A69">
        <v>3084299</v>
      </c>
      <c r="B69">
        <v>0.97</v>
      </c>
      <c r="C69" t="s">
        <v>228</v>
      </c>
      <c r="D69">
        <v>85</v>
      </c>
      <c r="E69">
        <v>1</v>
      </c>
      <c r="F69" t="s">
        <v>229</v>
      </c>
      <c r="G69">
        <v>75</v>
      </c>
      <c r="H69">
        <v>1</v>
      </c>
      <c r="I69" t="s">
        <v>230</v>
      </c>
      <c r="J69">
        <v>60</v>
      </c>
      <c r="K69">
        <v>0.95</v>
      </c>
      <c r="L69" t="s">
        <v>231</v>
      </c>
      <c r="M69">
        <v>80</v>
      </c>
      <c r="N69">
        <v>0.98</v>
      </c>
      <c r="O69">
        <v>75</v>
      </c>
    </row>
    <row r="70" spans="1:15" x14ac:dyDescent="0.3">
      <c r="A70">
        <v>3084300</v>
      </c>
      <c r="B70">
        <v>0.82</v>
      </c>
      <c r="C70" t="s">
        <v>232</v>
      </c>
      <c r="D70">
        <v>75</v>
      </c>
      <c r="E70">
        <v>0.85</v>
      </c>
      <c r="F70" t="s">
        <v>233</v>
      </c>
      <c r="G70">
        <v>55</v>
      </c>
      <c r="H70">
        <v>0.95</v>
      </c>
      <c r="I70" t="s">
        <v>234</v>
      </c>
      <c r="J70">
        <v>15</v>
      </c>
      <c r="K70">
        <v>0.93</v>
      </c>
      <c r="L70" t="s">
        <v>215</v>
      </c>
      <c r="M70">
        <v>75</v>
      </c>
      <c r="N70">
        <v>0.89</v>
      </c>
      <c r="O70">
        <v>55</v>
      </c>
    </row>
    <row r="71" spans="1:15" x14ac:dyDescent="0.3">
      <c r="A71">
        <v>3084301</v>
      </c>
      <c r="B71">
        <v>0.62</v>
      </c>
      <c r="C71" t="s">
        <v>235</v>
      </c>
      <c r="D71">
        <v>45</v>
      </c>
      <c r="E71">
        <v>0.7</v>
      </c>
      <c r="F71" t="s">
        <v>236</v>
      </c>
      <c r="G71">
        <v>40</v>
      </c>
      <c r="H71">
        <v>0.7</v>
      </c>
      <c r="I71" t="s">
        <v>237</v>
      </c>
      <c r="J71">
        <v>10</v>
      </c>
      <c r="K71">
        <v>0.75</v>
      </c>
      <c r="L71" t="s">
        <v>238</v>
      </c>
      <c r="M71">
        <v>65</v>
      </c>
      <c r="N71">
        <v>0.69</v>
      </c>
      <c r="O71">
        <v>40</v>
      </c>
    </row>
    <row r="72" spans="1:15" x14ac:dyDescent="0.3">
      <c r="A72">
        <v>3084304</v>
      </c>
      <c r="B72">
        <v>0.8</v>
      </c>
      <c r="C72" t="s">
        <v>239</v>
      </c>
      <c r="D72">
        <v>75</v>
      </c>
      <c r="E72">
        <v>0.85</v>
      </c>
      <c r="F72" t="s">
        <v>240</v>
      </c>
      <c r="G72">
        <v>50</v>
      </c>
      <c r="H72">
        <v>0.9</v>
      </c>
      <c r="I72" t="s">
        <v>241</v>
      </c>
      <c r="J72">
        <v>0</v>
      </c>
      <c r="K72">
        <v>0.88</v>
      </c>
      <c r="L72" t="s">
        <v>242</v>
      </c>
      <c r="M72">
        <v>70</v>
      </c>
      <c r="N72">
        <v>0.86</v>
      </c>
      <c r="O72">
        <v>48.8</v>
      </c>
    </row>
    <row r="73" spans="1:15" x14ac:dyDescent="0.3">
      <c r="A73">
        <v>3084308</v>
      </c>
      <c r="B73">
        <v>0.84</v>
      </c>
      <c r="C73" t="s">
        <v>243</v>
      </c>
      <c r="D73">
        <v>70</v>
      </c>
      <c r="E73">
        <v>0.95</v>
      </c>
      <c r="F73" t="s">
        <v>244</v>
      </c>
      <c r="G73">
        <v>55</v>
      </c>
      <c r="H73">
        <v>0.9</v>
      </c>
      <c r="I73" t="s">
        <v>245</v>
      </c>
      <c r="J73">
        <v>10</v>
      </c>
      <c r="K73">
        <v>0.9</v>
      </c>
      <c r="L73" t="s">
        <v>246</v>
      </c>
      <c r="M73">
        <v>75</v>
      </c>
      <c r="N73">
        <v>0.9</v>
      </c>
      <c r="O73">
        <v>52.5</v>
      </c>
    </row>
    <row r="74" spans="1:15" x14ac:dyDescent="0.3">
      <c r="A74">
        <v>3084309</v>
      </c>
      <c r="B74">
        <v>0.78</v>
      </c>
      <c r="C74" t="s">
        <v>247</v>
      </c>
      <c r="D74">
        <v>65</v>
      </c>
      <c r="E74">
        <v>0.8</v>
      </c>
      <c r="F74" t="s">
        <v>248</v>
      </c>
      <c r="G74">
        <v>45</v>
      </c>
      <c r="H74">
        <v>0.9</v>
      </c>
      <c r="I74" t="s">
        <v>249</v>
      </c>
      <c r="J74">
        <v>20</v>
      </c>
      <c r="K74">
        <v>0.9</v>
      </c>
      <c r="L74" t="s">
        <v>215</v>
      </c>
      <c r="M74">
        <v>70</v>
      </c>
      <c r="N74">
        <v>0.84</v>
      </c>
      <c r="O74">
        <v>50</v>
      </c>
    </row>
    <row r="75" spans="1:15" x14ac:dyDescent="0.3">
      <c r="A75">
        <v>3084311</v>
      </c>
      <c r="B75">
        <v>0.92</v>
      </c>
      <c r="C75" t="s">
        <v>250</v>
      </c>
      <c r="D75">
        <v>80</v>
      </c>
      <c r="E75">
        <v>1</v>
      </c>
      <c r="F75" t="s">
        <v>251</v>
      </c>
      <c r="G75">
        <v>70</v>
      </c>
      <c r="H75">
        <v>0.9</v>
      </c>
      <c r="I75" t="s">
        <v>252</v>
      </c>
      <c r="J75">
        <v>10</v>
      </c>
      <c r="K75">
        <v>0.95</v>
      </c>
      <c r="L75" t="s">
        <v>253</v>
      </c>
      <c r="M75">
        <v>80</v>
      </c>
      <c r="N75">
        <v>0.94</v>
      </c>
      <c r="O75">
        <v>60</v>
      </c>
    </row>
    <row r="76" spans="1:15" x14ac:dyDescent="0.3">
      <c r="A76">
        <v>3084313</v>
      </c>
      <c r="B76">
        <v>0.84</v>
      </c>
      <c r="C76" t="s">
        <v>254</v>
      </c>
      <c r="D76">
        <v>65</v>
      </c>
      <c r="E76">
        <v>0.95</v>
      </c>
      <c r="F76" t="s">
        <v>255</v>
      </c>
      <c r="G76">
        <v>55</v>
      </c>
      <c r="H76">
        <v>0.85</v>
      </c>
      <c r="I76" t="s">
        <v>256</v>
      </c>
      <c r="J76">
        <v>0</v>
      </c>
      <c r="K76">
        <v>0.93</v>
      </c>
      <c r="L76" t="s">
        <v>215</v>
      </c>
      <c r="M76">
        <v>75</v>
      </c>
      <c r="N76">
        <v>0.89</v>
      </c>
      <c r="O76">
        <v>48.8</v>
      </c>
    </row>
    <row r="77" spans="1:15" x14ac:dyDescent="0.3">
      <c r="A77">
        <v>3084314</v>
      </c>
      <c r="B77">
        <v>0.94</v>
      </c>
      <c r="C77" t="s">
        <v>257</v>
      </c>
      <c r="D77">
        <v>70</v>
      </c>
      <c r="E77">
        <v>1</v>
      </c>
      <c r="F77" t="s">
        <v>258</v>
      </c>
      <c r="G77">
        <v>80</v>
      </c>
      <c r="H77">
        <v>0.95</v>
      </c>
      <c r="I77" t="s">
        <v>259</v>
      </c>
      <c r="J77">
        <v>15</v>
      </c>
      <c r="K77">
        <v>0.98</v>
      </c>
      <c r="L77" t="s">
        <v>260</v>
      </c>
      <c r="M77">
        <v>85</v>
      </c>
      <c r="N77">
        <v>0.97</v>
      </c>
      <c r="O77">
        <v>62.5</v>
      </c>
    </row>
    <row r="78" spans="1:15" x14ac:dyDescent="0.3">
      <c r="A78">
        <v>3084315</v>
      </c>
      <c r="B78">
        <v>0.91</v>
      </c>
      <c r="C78" t="s">
        <v>261</v>
      </c>
      <c r="D78">
        <v>80</v>
      </c>
      <c r="E78">
        <v>1</v>
      </c>
      <c r="F78" t="s">
        <v>262</v>
      </c>
      <c r="G78">
        <v>70</v>
      </c>
      <c r="H78">
        <v>1</v>
      </c>
      <c r="I78" t="s">
        <v>263</v>
      </c>
      <c r="J78">
        <v>15</v>
      </c>
      <c r="K78">
        <v>0.9</v>
      </c>
      <c r="L78" t="s">
        <v>215</v>
      </c>
      <c r="M78">
        <v>75</v>
      </c>
      <c r="N78">
        <v>0.95</v>
      </c>
      <c r="O78">
        <v>60</v>
      </c>
    </row>
    <row r="79" spans="1:15" x14ac:dyDescent="0.3">
      <c r="A79">
        <v>3084316</v>
      </c>
      <c r="B79">
        <v>0.91</v>
      </c>
      <c r="C79" t="s">
        <v>264</v>
      </c>
      <c r="D79">
        <v>60</v>
      </c>
      <c r="E79">
        <v>1</v>
      </c>
      <c r="F79" t="s">
        <v>265</v>
      </c>
      <c r="G79">
        <v>75</v>
      </c>
      <c r="H79">
        <v>1</v>
      </c>
      <c r="I79" t="s">
        <v>266</v>
      </c>
      <c r="J79">
        <v>10</v>
      </c>
      <c r="K79">
        <v>0.88</v>
      </c>
      <c r="L79" t="s">
        <v>219</v>
      </c>
      <c r="M79">
        <v>70</v>
      </c>
      <c r="N79">
        <v>0.95</v>
      </c>
      <c r="O79">
        <v>53.8</v>
      </c>
    </row>
    <row r="80" spans="1:15" x14ac:dyDescent="0.3">
      <c r="A80">
        <v>3084317</v>
      </c>
      <c r="B80">
        <v>0.85</v>
      </c>
      <c r="C80" t="s">
        <v>267</v>
      </c>
      <c r="D80">
        <v>70</v>
      </c>
      <c r="E80">
        <v>1</v>
      </c>
      <c r="F80" t="s">
        <v>268</v>
      </c>
      <c r="G80">
        <v>70</v>
      </c>
      <c r="H80">
        <v>1</v>
      </c>
      <c r="I80" t="s">
        <v>269</v>
      </c>
      <c r="J80">
        <v>5</v>
      </c>
      <c r="K80">
        <v>0.93</v>
      </c>
      <c r="L80" t="s">
        <v>270</v>
      </c>
      <c r="M80">
        <v>80</v>
      </c>
      <c r="N80">
        <v>0.95</v>
      </c>
      <c r="O80">
        <v>56.2</v>
      </c>
    </row>
    <row r="81" spans="1:15" x14ac:dyDescent="0.3">
      <c r="A81">
        <v>3084318</v>
      </c>
      <c r="B81">
        <v>0.56999999999999995</v>
      </c>
      <c r="C81" t="s">
        <v>271</v>
      </c>
      <c r="D81">
        <v>55</v>
      </c>
      <c r="E81">
        <v>0.75</v>
      </c>
      <c r="F81" t="s">
        <v>272</v>
      </c>
      <c r="G81">
        <v>40</v>
      </c>
      <c r="H81">
        <v>0.75</v>
      </c>
      <c r="I81" t="s">
        <v>273</v>
      </c>
      <c r="J81">
        <v>0</v>
      </c>
      <c r="K81">
        <v>0.8</v>
      </c>
      <c r="L81" t="s">
        <v>274</v>
      </c>
      <c r="M81">
        <v>65</v>
      </c>
      <c r="N81">
        <v>0.72</v>
      </c>
      <c r="O81">
        <v>40</v>
      </c>
    </row>
    <row r="82" spans="1:15" x14ac:dyDescent="0.3">
      <c r="A82">
        <v>3084320</v>
      </c>
      <c r="B82">
        <v>0.76</v>
      </c>
      <c r="C82" t="s">
        <v>275</v>
      </c>
      <c r="D82">
        <v>75</v>
      </c>
      <c r="E82">
        <v>0.85</v>
      </c>
      <c r="F82" t="s">
        <v>276</v>
      </c>
      <c r="G82">
        <v>50</v>
      </c>
      <c r="H82">
        <v>0.85</v>
      </c>
      <c r="I82" t="s">
        <v>277</v>
      </c>
      <c r="J82">
        <v>20</v>
      </c>
      <c r="K82">
        <v>0.88</v>
      </c>
      <c r="L82" t="s">
        <v>215</v>
      </c>
      <c r="M82">
        <v>75</v>
      </c>
      <c r="N82">
        <v>0.83</v>
      </c>
      <c r="O82">
        <v>55</v>
      </c>
    </row>
    <row r="83" spans="1:15" x14ac:dyDescent="0.3">
      <c r="A83">
        <v>3084321</v>
      </c>
      <c r="B83">
        <v>0</v>
      </c>
      <c r="C83" t="s">
        <v>18</v>
      </c>
      <c r="D83">
        <v>0</v>
      </c>
      <c r="E83">
        <v>0</v>
      </c>
      <c r="F83" t="s">
        <v>18</v>
      </c>
      <c r="G83">
        <v>0</v>
      </c>
      <c r="H83">
        <v>0</v>
      </c>
      <c r="I83" t="s">
        <v>18</v>
      </c>
      <c r="J83">
        <v>0</v>
      </c>
      <c r="K83">
        <v>0</v>
      </c>
      <c r="L83" t="s">
        <v>18</v>
      </c>
      <c r="M83">
        <v>0</v>
      </c>
      <c r="N83">
        <v>0</v>
      </c>
      <c r="O83">
        <v>0</v>
      </c>
    </row>
    <row r="84" spans="1:15" x14ac:dyDescent="0.3">
      <c r="A84">
        <v>3084322</v>
      </c>
      <c r="B84">
        <v>0.61</v>
      </c>
      <c r="C84" t="s">
        <v>278</v>
      </c>
      <c r="D84">
        <v>65</v>
      </c>
      <c r="E84">
        <v>0.95</v>
      </c>
      <c r="F84" t="s">
        <v>279</v>
      </c>
      <c r="G84">
        <v>70</v>
      </c>
      <c r="H84">
        <v>0.75</v>
      </c>
      <c r="I84" t="s">
        <v>280</v>
      </c>
      <c r="J84">
        <v>15</v>
      </c>
      <c r="K84">
        <v>0.88</v>
      </c>
      <c r="L84" t="s">
        <v>215</v>
      </c>
      <c r="M84">
        <v>80</v>
      </c>
      <c r="N84">
        <v>0.8</v>
      </c>
      <c r="O84">
        <v>57.5</v>
      </c>
    </row>
    <row r="85" spans="1:15" x14ac:dyDescent="0.3">
      <c r="A85">
        <v>3084324</v>
      </c>
      <c r="B85">
        <v>0</v>
      </c>
      <c r="C85" t="s">
        <v>18</v>
      </c>
      <c r="D85">
        <v>0</v>
      </c>
      <c r="E85">
        <v>0</v>
      </c>
      <c r="F85" t="s">
        <v>18</v>
      </c>
      <c r="G85">
        <v>0</v>
      </c>
      <c r="H85">
        <v>0</v>
      </c>
      <c r="I85" t="s">
        <v>18</v>
      </c>
      <c r="J85">
        <v>0</v>
      </c>
      <c r="K85">
        <v>0</v>
      </c>
      <c r="L85" t="s">
        <v>18</v>
      </c>
      <c r="M85">
        <v>0</v>
      </c>
      <c r="N85">
        <v>0</v>
      </c>
      <c r="O85">
        <v>0</v>
      </c>
    </row>
    <row r="86" spans="1:15" x14ac:dyDescent="0.3">
      <c r="A86">
        <v>3084325</v>
      </c>
      <c r="B86">
        <v>0.41</v>
      </c>
      <c r="C86" t="s">
        <v>281</v>
      </c>
      <c r="D86">
        <v>60</v>
      </c>
      <c r="E86">
        <v>0.7</v>
      </c>
      <c r="F86" t="s">
        <v>282</v>
      </c>
      <c r="G86">
        <v>45</v>
      </c>
      <c r="H86">
        <v>0.7</v>
      </c>
      <c r="I86" t="s">
        <v>283</v>
      </c>
      <c r="J86">
        <v>0</v>
      </c>
      <c r="K86">
        <v>0.7</v>
      </c>
      <c r="L86" t="s">
        <v>284</v>
      </c>
      <c r="M86">
        <v>55</v>
      </c>
      <c r="N86">
        <v>0.63</v>
      </c>
      <c r="O86">
        <v>40</v>
      </c>
    </row>
    <row r="87" spans="1:15" x14ac:dyDescent="0.3">
      <c r="A87">
        <v>3084327</v>
      </c>
      <c r="B87">
        <v>0</v>
      </c>
      <c r="C87" t="s">
        <v>18</v>
      </c>
      <c r="D87">
        <v>0</v>
      </c>
      <c r="E87">
        <v>0</v>
      </c>
      <c r="F87" t="s">
        <v>18</v>
      </c>
      <c r="G87">
        <v>0</v>
      </c>
      <c r="H87">
        <v>0</v>
      </c>
      <c r="I87" t="s">
        <v>18</v>
      </c>
      <c r="J87">
        <v>0</v>
      </c>
      <c r="K87">
        <v>0</v>
      </c>
      <c r="L87" t="s">
        <v>18</v>
      </c>
      <c r="M87">
        <v>0</v>
      </c>
      <c r="N87">
        <v>0</v>
      </c>
      <c r="O87">
        <v>0</v>
      </c>
    </row>
    <row r="88" spans="1:15" x14ac:dyDescent="0.3">
      <c r="A88">
        <v>3084328</v>
      </c>
      <c r="B88">
        <v>0.62</v>
      </c>
      <c r="C88" t="s">
        <v>285</v>
      </c>
      <c r="D88">
        <v>40</v>
      </c>
      <c r="E88">
        <v>0.75</v>
      </c>
      <c r="F88" t="s">
        <v>286</v>
      </c>
      <c r="G88">
        <v>35</v>
      </c>
      <c r="H88">
        <v>0.7</v>
      </c>
      <c r="I88" t="s">
        <v>287</v>
      </c>
      <c r="J88">
        <v>0</v>
      </c>
      <c r="K88">
        <v>0.75</v>
      </c>
      <c r="L88" t="s">
        <v>274</v>
      </c>
      <c r="M88">
        <v>60</v>
      </c>
      <c r="N88">
        <v>0.7</v>
      </c>
      <c r="O88">
        <v>33.799999999999997</v>
      </c>
    </row>
    <row r="89" spans="1:15" x14ac:dyDescent="0.3">
      <c r="A89">
        <v>3084329</v>
      </c>
      <c r="B89">
        <v>0.96</v>
      </c>
      <c r="C89" t="s">
        <v>288</v>
      </c>
      <c r="D89">
        <v>95</v>
      </c>
      <c r="E89">
        <v>1</v>
      </c>
      <c r="F89" t="s">
        <v>289</v>
      </c>
      <c r="G89">
        <v>75</v>
      </c>
      <c r="H89">
        <v>0.95</v>
      </c>
      <c r="I89" t="s">
        <v>290</v>
      </c>
      <c r="J89">
        <v>95</v>
      </c>
      <c r="K89">
        <v>0.93</v>
      </c>
      <c r="L89" t="s">
        <v>253</v>
      </c>
      <c r="M89">
        <v>80</v>
      </c>
      <c r="N89">
        <v>0.96</v>
      </c>
      <c r="O89">
        <v>86.2</v>
      </c>
    </row>
    <row r="90" spans="1:15" x14ac:dyDescent="0.3">
      <c r="A90">
        <v>3084330</v>
      </c>
      <c r="B90">
        <v>0.78</v>
      </c>
      <c r="C90" t="s">
        <v>291</v>
      </c>
      <c r="D90">
        <v>65</v>
      </c>
      <c r="E90">
        <v>0.95</v>
      </c>
      <c r="F90" t="s">
        <v>292</v>
      </c>
      <c r="G90">
        <v>60</v>
      </c>
      <c r="H90">
        <v>0.9</v>
      </c>
      <c r="I90" t="s">
        <v>293</v>
      </c>
      <c r="J90">
        <v>15</v>
      </c>
      <c r="K90">
        <v>0.9</v>
      </c>
      <c r="L90" t="s">
        <v>215</v>
      </c>
      <c r="M90">
        <v>75</v>
      </c>
      <c r="N90">
        <v>0.88</v>
      </c>
      <c r="O90">
        <v>53.8</v>
      </c>
    </row>
    <row r="91" spans="1:15" x14ac:dyDescent="0.3">
      <c r="A91">
        <v>3084332</v>
      </c>
      <c r="B91">
        <v>0.65</v>
      </c>
      <c r="C91" t="s">
        <v>294</v>
      </c>
      <c r="D91">
        <v>78</v>
      </c>
      <c r="E91">
        <v>1</v>
      </c>
      <c r="F91" t="s">
        <v>295</v>
      </c>
      <c r="G91">
        <v>35</v>
      </c>
      <c r="H91">
        <v>0.9</v>
      </c>
      <c r="I91" t="s">
        <v>296</v>
      </c>
      <c r="J91">
        <v>10</v>
      </c>
      <c r="K91">
        <v>0.94</v>
      </c>
      <c r="L91" t="s">
        <v>297</v>
      </c>
      <c r="M91">
        <v>75</v>
      </c>
      <c r="N91">
        <v>0.87</v>
      </c>
      <c r="O91">
        <v>49.5</v>
      </c>
    </row>
    <row r="92" spans="1:15" x14ac:dyDescent="0.3">
      <c r="A92">
        <v>3084333</v>
      </c>
      <c r="B92">
        <v>0.86</v>
      </c>
      <c r="C92" t="s">
        <v>298</v>
      </c>
      <c r="D92">
        <v>90</v>
      </c>
      <c r="E92">
        <v>0.9</v>
      </c>
      <c r="F92" t="s">
        <v>299</v>
      </c>
      <c r="G92">
        <v>55</v>
      </c>
      <c r="H92">
        <v>1</v>
      </c>
      <c r="I92" t="s">
        <v>300</v>
      </c>
      <c r="J92">
        <v>0</v>
      </c>
      <c r="K92">
        <v>1</v>
      </c>
      <c r="L92" t="s">
        <v>301</v>
      </c>
      <c r="M92">
        <v>85</v>
      </c>
      <c r="N92">
        <v>0.94</v>
      </c>
      <c r="O92">
        <v>57.5</v>
      </c>
    </row>
    <row r="93" spans="1:15" x14ac:dyDescent="0.3">
      <c r="A93">
        <v>3084334</v>
      </c>
      <c r="B93">
        <v>0.75</v>
      </c>
      <c r="C93" t="s">
        <v>302</v>
      </c>
      <c r="D93">
        <v>72</v>
      </c>
      <c r="E93">
        <v>1</v>
      </c>
      <c r="F93" t="s">
        <v>303</v>
      </c>
      <c r="G93">
        <v>40</v>
      </c>
      <c r="H93">
        <v>1</v>
      </c>
      <c r="I93" t="s">
        <v>304</v>
      </c>
      <c r="J93">
        <v>0</v>
      </c>
      <c r="K93">
        <v>0.94</v>
      </c>
      <c r="L93" t="s">
        <v>305</v>
      </c>
      <c r="M93">
        <v>70</v>
      </c>
      <c r="N93">
        <v>0.92</v>
      </c>
      <c r="O93">
        <v>45.5</v>
      </c>
    </row>
    <row r="94" spans="1:15" x14ac:dyDescent="0.3">
      <c r="A94">
        <v>3084336</v>
      </c>
      <c r="B94">
        <v>0.75</v>
      </c>
      <c r="C94" t="s">
        <v>306</v>
      </c>
      <c r="D94">
        <v>70</v>
      </c>
      <c r="E94">
        <v>0.95</v>
      </c>
      <c r="F94" t="s">
        <v>307</v>
      </c>
      <c r="G94">
        <v>35</v>
      </c>
      <c r="H94">
        <v>1</v>
      </c>
      <c r="I94" t="s">
        <v>308</v>
      </c>
      <c r="J94">
        <v>0</v>
      </c>
      <c r="K94">
        <v>0.88</v>
      </c>
      <c r="L94" t="s">
        <v>309</v>
      </c>
      <c r="M94">
        <v>60</v>
      </c>
      <c r="N94">
        <v>0.9</v>
      </c>
      <c r="O94">
        <v>41.2</v>
      </c>
    </row>
    <row r="95" spans="1:15" x14ac:dyDescent="0.3">
      <c r="A95">
        <v>3084337</v>
      </c>
      <c r="B95">
        <v>0</v>
      </c>
      <c r="C95" t="s">
        <v>18</v>
      </c>
      <c r="D95">
        <v>0</v>
      </c>
      <c r="E95">
        <v>0</v>
      </c>
      <c r="F95" t="s">
        <v>18</v>
      </c>
      <c r="G95">
        <v>0</v>
      </c>
      <c r="H95">
        <v>0</v>
      </c>
      <c r="I95" t="s">
        <v>18</v>
      </c>
      <c r="J95">
        <v>0</v>
      </c>
      <c r="K95">
        <v>0</v>
      </c>
      <c r="L95" t="s">
        <v>18</v>
      </c>
      <c r="M95">
        <v>0</v>
      </c>
      <c r="N95">
        <v>0</v>
      </c>
      <c r="O95">
        <v>0</v>
      </c>
    </row>
    <row r="96" spans="1:15" x14ac:dyDescent="0.3">
      <c r="A96">
        <v>3084338</v>
      </c>
      <c r="B96">
        <v>0.88</v>
      </c>
      <c r="C96" t="s">
        <v>310</v>
      </c>
      <c r="D96">
        <v>85</v>
      </c>
      <c r="E96">
        <v>0.85</v>
      </c>
      <c r="F96" t="s">
        <v>311</v>
      </c>
      <c r="G96">
        <v>30</v>
      </c>
      <c r="H96">
        <v>1</v>
      </c>
      <c r="I96" t="s">
        <v>312</v>
      </c>
      <c r="J96">
        <v>0</v>
      </c>
      <c r="K96">
        <v>0.94</v>
      </c>
      <c r="L96" t="s">
        <v>313</v>
      </c>
      <c r="M96">
        <v>75</v>
      </c>
      <c r="N96">
        <v>0.92</v>
      </c>
      <c r="O96">
        <v>47.5</v>
      </c>
    </row>
    <row r="97" spans="1:15" x14ac:dyDescent="0.3">
      <c r="A97">
        <v>3084339</v>
      </c>
      <c r="B97">
        <v>0.64</v>
      </c>
      <c r="C97" t="s">
        <v>314</v>
      </c>
      <c r="D97">
        <v>55</v>
      </c>
      <c r="E97">
        <v>0.85</v>
      </c>
      <c r="F97" t="s">
        <v>315</v>
      </c>
      <c r="G97">
        <v>25</v>
      </c>
      <c r="H97">
        <v>0.65</v>
      </c>
      <c r="I97" t="s">
        <v>316</v>
      </c>
      <c r="J97">
        <v>0</v>
      </c>
      <c r="K97">
        <v>0.69</v>
      </c>
      <c r="L97" t="s">
        <v>317</v>
      </c>
      <c r="M97">
        <v>30</v>
      </c>
      <c r="N97">
        <v>0.71</v>
      </c>
      <c r="O97">
        <v>27.5</v>
      </c>
    </row>
    <row r="98" spans="1:15" x14ac:dyDescent="0.3">
      <c r="A98">
        <v>3084340</v>
      </c>
      <c r="B98">
        <v>0</v>
      </c>
      <c r="C98" t="s">
        <v>18</v>
      </c>
      <c r="D98">
        <v>0</v>
      </c>
      <c r="E98">
        <v>0</v>
      </c>
      <c r="F98" t="s">
        <v>18</v>
      </c>
      <c r="G98">
        <v>0</v>
      </c>
      <c r="H98">
        <v>0</v>
      </c>
      <c r="I98" t="s">
        <v>18</v>
      </c>
      <c r="J98">
        <v>0</v>
      </c>
      <c r="K98">
        <v>0</v>
      </c>
      <c r="L98" t="s">
        <v>18</v>
      </c>
      <c r="M98">
        <v>0</v>
      </c>
      <c r="N98">
        <v>0</v>
      </c>
      <c r="O98">
        <v>0</v>
      </c>
    </row>
    <row r="99" spans="1:15" x14ac:dyDescent="0.3">
      <c r="A99">
        <v>3084342</v>
      </c>
      <c r="B99">
        <v>0</v>
      </c>
      <c r="C99" t="s">
        <v>18</v>
      </c>
      <c r="D99">
        <v>0</v>
      </c>
      <c r="E99">
        <v>0</v>
      </c>
      <c r="F99" t="s">
        <v>18</v>
      </c>
      <c r="G99">
        <v>0</v>
      </c>
      <c r="H99">
        <v>0</v>
      </c>
      <c r="I99" t="s">
        <v>18</v>
      </c>
      <c r="J99">
        <v>0</v>
      </c>
      <c r="K99">
        <v>0</v>
      </c>
      <c r="L99" t="s">
        <v>18</v>
      </c>
      <c r="M99">
        <v>0</v>
      </c>
      <c r="N99">
        <v>0</v>
      </c>
      <c r="O99">
        <v>0</v>
      </c>
    </row>
    <row r="100" spans="1:15" x14ac:dyDescent="0.3">
      <c r="A100">
        <v>3084345</v>
      </c>
      <c r="B100">
        <v>0.97</v>
      </c>
      <c r="C100" t="s">
        <v>318</v>
      </c>
      <c r="D100">
        <v>82</v>
      </c>
      <c r="E100">
        <v>1</v>
      </c>
      <c r="F100" t="s">
        <v>319</v>
      </c>
      <c r="G100">
        <v>45</v>
      </c>
      <c r="H100">
        <v>1</v>
      </c>
      <c r="I100" t="s">
        <v>320</v>
      </c>
      <c r="J100">
        <v>0</v>
      </c>
      <c r="K100">
        <v>0.94</v>
      </c>
      <c r="L100" t="s">
        <v>321</v>
      </c>
      <c r="M100">
        <v>80</v>
      </c>
      <c r="N100">
        <v>0.98</v>
      </c>
      <c r="O100">
        <v>51.8</v>
      </c>
    </row>
    <row r="101" spans="1:15" x14ac:dyDescent="0.3">
      <c r="A101">
        <v>3084346</v>
      </c>
      <c r="B101">
        <v>0.66</v>
      </c>
      <c r="C101" t="s">
        <v>322</v>
      </c>
      <c r="D101">
        <v>60</v>
      </c>
      <c r="E101">
        <v>0.8</v>
      </c>
      <c r="F101" t="s">
        <v>323</v>
      </c>
      <c r="G101">
        <v>20</v>
      </c>
      <c r="H101">
        <v>0.8</v>
      </c>
      <c r="I101" t="s">
        <v>324</v>
      </c>
      <c r="J101">
        <v>0</v>
      </c>
      <c r="K101">
        <v>0.69</v>
      </c>
      <c r="L101" t="s">
        <v>325</v>
      </c>
      <c r="M101">
        <v>40</v>
      </c>
      <c r="N101">
        <v>0.74</v>
      </c>
      <c r="O101">
        <v>30</v>
      </c>
    </row>
    <row r="102" spans="1:15" x14ac:dyDescent="0.3">
      <c r="A102">
        <v>3084348</v>
      </c>
      <c r="B102">
        <v>0.87</v>
      </c>
      <c r="C102" t="s">
        <v>326</v>
      </c>
      <c r="D102">
        <v>84</v>
      </c>
      <c r="E102">
        <v>1</v>
      </c>
      <c r="F102" t="s">
        <v>327</v>
      </c>
      <c r="G102">
        <v>50</v>
      </c>
      <c r="H102">
        <v>0.95</v>
      </c>
      <c r="I102" t="s">
        <v>328</v>
      </c>
      <c r="J102">
        <v>10</v>
      </c>
      <c r="K102">
        <v>0.94</v>
      </c>
      <c r="L102" t="s">
        <v>329</v>
      </c>
      <c r="M102">
        <v>75</v>
      </c>
      <c r="N102">
        <v>0.94</v>
      </c>
      <c r="O102">
        <v>54.8</v>
      </c>
    </row>
    <row r="103" spans="1:15" x14ac:dyDescent="0.3">
      <c r="A103">
        <v>3084352</v>
      </c>
      <c r="B103">
        <v>0.79</v>
      </c>
      <c r="C103" t="s">
        <v>330</v>
      </c>
      <c r="D103">
        <v>68</v>
      </c>
      <c r="E103">
        <v>0.95</v>
      </c>
      <c r="F103" t="s">
        <v>331</v>
      </c>
      <c r="G103">
        <v>35</v>
      </c>
      <c r="H103">
        <v>0.9</v>
      </c>
      <c r="I103" t="s">
        <v>332</v>
      </c>
      <c r="J103">
        <v>0</v>
      </c>
      <c r="K103">
        <v>0.88</v>
      </c>
      <c r="L103" t="s">
        <v>333</v>
      </c>
      <c r="M103">
        <v>65</v>
      </c>
      <c r="N103">
        <v>0.88</v>
      </c>
      <c r="O103">
        <v>42</v>
      </c>
    </row>
    <row r="104" spans="1:15" x14ac:dyDescent="0.3">
      <c r="A104">
        <v>3084353</v>
      </c>
      <c r="B104">
        <v>0.5</v>
      </c>
      <c r="C104" t="s">
        <v>334</v>
      </c>
      <c r="D104">
        <v>45</v>
      </c>
      <c r="E104">
        <v>0.75</v>
      </c>
      <c r="F104" t="s">
        <v>335</v>
      </c>
      <c r="G104">
        <v>20</v>
      </c>
      <c r="H104">
        <v>0.55000000000000004</v>
      </c>
      <c r="I104" t="s">
        <v>336</v>
      </c>
      <c r="J104">
        <v>0</v>
      </c>
      <c r="K104">
        <v>0.75</v>
      </c>
      <c r="L104" t="s">
        <v>317</v>
      </c>
      <c r="M104">
        <v>35</v>
      </c>
      <c r="N104">
        <v>0.64</v>
      </c>
      <c r="O104">
        <v>25</v>
      </c>
    </row>
    <row r="105" spans="1:15" x14ac:dyDescent="0.3">
      <c r="A105">
        <v>3084355</v>
      </c>
      <c r="B105">
        <v>0</v>
      </c>
      <c r="C105" t="s">
        <v>18</v>
      </c>
      <c r="D105">
        <v>0</v>
      </c>
      <c r="E105">
        <v>0</v>
      </c>
      <c r="F105" t="s">
        <v>18</v>
      </c>
      <c r="G105">
        <v>0</v>
      </c>
      <c r="H105">
        <v>0</v>
      </c>
      <c r="I105" t="s">
        <v>18</v>
      </c>
      <c r="J105">
        <v>0</v>
      </c>
      <c r="K105">
        <v>0</v>
      </c>
      <c r="L105" t="s">
        <v>18</v>
      </c>
      <c r="M105">
        <v>0</v>
      </c>
      <c r="N105">
        <v>0</v>
      </c>
      <c r="O105">
        <v>0</v>
      </c>
    </row>
    <row r="106" spans="1:15" x14ac:dyDescent="0.3">
      <c r="A106">
        <v>3084356</v>
      </c>
      <c r="B106">
        <v>0.68</v>
      </c>
      <c r="C106" t="s">
        <v>337</v>
      </c>
      <c r="D106">
        <v>75</v>
      </c>
      <c r="E106">
        <v>0.95</v>
      </c>
      <c r="F106" t="s">
        <v>338</v>
      </c>
      <c r="G106">
        <v>30</v>
      </c>
      <c r="H106">
        <v>0.9</v>
      </c>
      <c r="I106" t="s">
        <v>339</v>
      </c>
      <c r="J106">
        <v>100</v>
      </c>
      <c r="K106">
        <v>0.81</v>
      </c>
      <c r="L106" t="s">
        <v>340</v>
      </c>
      <c r="M106">
        <v>50</v>
      </c>
      <c r="N106">
        <v>0.83</v>
      </c>
      <c r="O106">
        <v>63.8</v>
      </c>
    </row>
    <row r="107" spans="1:15" x14ac:dyDescent="0.3">
      <c r="A107">
        <v>3084359</v>
      </c>
      <c r="B107">
        <v>0.84</v>
      </c>
      <c r="C107" t="s">
        <v>341</v>
      </c>
      <c r="D107">
        <v>80</v>
      </c>
      <c r="E107">
        <v>1</v>
      </c>
      <c r="F107" t="s">
        <v>342</v>
      </c>
      <c r="G107">
        <v>55</v>
      </c>
      <c r="H107">
        <v>0.95</v>
      </c>
      <c r="I107" t="s">
        <v>343</v>
      </c>
      <c r="J107">
        <v>0</v>
      </c>
      <c r="K107">
        <v>0.88</v>
      </c>
      <c r="L107" t="s">
        <v>344</v>
      </c>
      <c r="M107">
        <v>70</v>
      </c>
      <c r="N107">
        <v>0.92</v>
      </c>
      <c r="O107">
        <v>51.2</v>
      </c>
    </row>
    <row r="108" spans="1:15" x14ac:dyDescent="0.3">
      <c r="A108">
        <v>3084361</v>
      </c>
      <c r="B108">
        <v>0.88</v>
      </c>
      <c r="C108" t="s">
        <v>345</v>
      </c>
      <c r="D108">
        <v>83</v>
      </c>
      <c r="E108">
        <v>1</v>
      </c>
      <c r="F108" t="s">
        <v>346</v>
      </c>
      <c r="G108">
        <v>60</v>
      </c>
      <c r="H108">
        <v>0.95</v>
      </c>
      <c r="I108" t="s">
        <v>347</v>
      </c>
      <c r="J108">
        <v>10</v>
      </c>
      <c r="K108">
        <v>0.94</v>
      </c>
      <c r="L108" t="s">
        <v>348</v>
      </c>
      <c r="M108">
        <v>80</v>
      </c>
      <c r="N108">
        <v>0.94</v>
      </c>
      <c r="O108">
        <v>58.2</v>
      </c>
    </row>
    <row r="109" spans="1:15" x14ac:dyDescent="0.3">
      <c r="A109">
        <v>3084362</v>
      </c>
      <c r="B109">
        <v>0</v>
      </c>
      <c r="C109" t="s">
        <v>18</v>
      </c>
      <c r="D109">
        <v>0</v>
      </c>
      <c r="E109">
        <v>0</v>
      </c>
      <c r="F109" t="s">
        <v>18</v>
      </c>
      <c r="G109">
        <v>0</v>
      </c>
      <c r="H109">
        <v>0</v>
      </c>
      <c r="I109" t="s">
        <v>18</v>
      </c>
      <c r="J109">
        <v>0</v>
      </c>
      <c r="K109">
        <v>0</v>
      </c>
      <c r="L109" t="s">
        <v>18</v>
      </c>
      <c r="M109">
        <v>0</v>
      </c>
      <c r="N109">
        <v>0</v>
      </c>
      <c r="O109">
        <v>0</v>
      </c>
    </row>
    <row r="110" spans="1:15" x14ac:dyDescent="0.3">
      <c r="A110">
        <v>3084364</v>
      </c>
      <c r="B110">
        <v>0.73</v>
      </c>
      <c r="C110" t="s">
        <v>349</v>
      </c>
      <c r="D110">
        <v>62</v>
      </c>
      <c r="E110">
        <v>0.8</v>
      </c>
      <c r="F110" t="s">
        <v>350</v>
      </c>
      <c r="G110">
        <v>25</v>
      </c>
      <c r="H110">
        <v>0.9</v>
      </c>
      <c r="I110" t="s">
        <v>351</v>
      </c>
      <c r="J110">
        <v>0</v>
      </c>
      <c r="K110">
        <v>0.75</v>
      </c>
      <c r="L110" t="s">
        <v>317</v>
      </c>
      <c r="M110">
        <v>40</v>
      </c>
      <c r="N110">
        <v>0.8</v>
      </c>
      <c r="O110">
        <v>31.8</v>
      </c>
    </row>
    <row r="111" spans="1:15" x14ac:dyDescent="0.3">
      <c r="A111">
        <v>3084365</v>
      </c>
      <c r="B111">
        <v>0.95</v>
      </c>
      <c r="C111" t="s">
        <v>352</v>
      </c>
      <c r="D111">
        <v>80</v>
      </c>
      <c r="E111">
        <v>1</v>
      </c>
      <c r="F111" t="s">
        <v>353</v>
      </c>
      <c r="G111">
        <v>50</v>
      </c>
      <c r="H111">
        <v>1</v>
      </c>
      <c r="I111" t="s">
        <v>354</v>
      </c>
      <c r="J111">
        <v>0</v>
      </c>
      <c r="K111">
        <v>0.88</v>
      </c>
      <c r="L111" t="s">
        <v>355</v>
      </c>
      <c r="M111">
        <v>75</v>
      </c>
      <c r="N111">
        <v>0.96</v>
      </c>
      <c r="O111">
        <v>51.2</v>
      </c>
    </row>
    <row r="112" spans="1:15" x14ac:dyDescent="0.3">
      <c r="A112">
        <v>3084366</v>
      </c>
      <c r="B112">
        <v>0.89</v>
      </c>
      <c r="C112" t="s">
        <v>356</v>
      </c>
      <c r="D112">
        <v>74</v>
      </c>
      <c r="E112">
        <v>1</v>
      </c>
      <c r="F112" t="s">
        <v>357</v>
      </c>
      <c r="G112">
        <v>60</v>
      </c>
      <c r="H112">
        <v>1</v>
      </c>
      <c r="I112" t="s">
        <v>358</v>
      </c>
      <c r="J112">
        <v>0</v>
      </c>
      <c r="K112">
        <v>1</v>
      </c>
      <c r="L112" t="s">
        <v>359</v>
      </c>
      <c r="M112">
        <v>85</v>
      </c>
      <c r="N112">
        <v>0.97</v>
      </c>
      <c r="O112">
        <v>54.8</v>
      </c>
    </row>
    <row r="113" spans="1:15" x14ac:dyDescent="0.3">
      <c r="A113">
        <v>3084371</v>
      </c>
      <c r="B113">
        <v>0</v>
      </c>
      <c r="C113" t="s">
        <v>18</v>
      </c>
      <c r="D113">
        <v>0</v>
      </c>
      <c r="E113">
        <v>0</v>
      </c>
      <c r="F113" t="s">
        <v>18</v>
      </c>
      <c r="G113">
        <v>0</v>
      </c>
      <c r="H113">
        <v>0</v>
      </c>
      <c r="I113" t="s">
        <v>18</v>
      </c>
      <c r="J113">
        <v>0</v>
      </c>
      <c r="K113">
        <v>0</v>
      </c>
      <c r="L113" t="s">
        <v>18</v>
      </c>
      <c r="M113">
        <v>0</v>
      </c>
      <c r="N113">
        <v>0</v>
      </c>
      <c r="O113">
        <v>0</v>
      </c>
    </row>
    <row r="114" spans="1:15" x14ac:dyDescent="0.3">
      <c r="A114">
        <v>3084373</v>
      </c>
      <c r="B114">
        <v>0</v>
      </c>
      <c r="C114" t="s">
        <v>18</v>
      </c>
      <c r="D114">
        <v>0</v>
      </c>
      <c r="E114">
        <v>0</v>
      </c>
      <c r="F114" t="s">
        <v>18</v>
      </c>
      <c r="G114">
        <v>0</v>
      </c>
      <c r="H114">
        <v>0</v>
      </c>
      <c r="I114" t="s">
        <v>18</v>
      </c>
      <c r="J114">
        <v>0</v>
      </c>
      <c r="K114">
        <v>0</v>
      </c>
      <c r="L114" t="s">
        <v>18</v>
      </c>
      <c r="M114">
        <v>0</v>
      </c>
      <c r="N114">
        <v>0</v>
      </c>
      <c r="O114">
        <v>0</v>
      </c>
    </row>
    <row r="115" spans="1:15" x14ac:dyDescent="0.3">
      <c r="A115">
        <v>3084374</v>
      </c>
      <c r="B115">
        <v>0.6</v>
      </c>
      <c r="C115" t="s">
        <v>360</v>
      </c>
      <c r="D115">
        <v>40</v>
      </c>
      <c r="E115">
        <v>0.7</v>
      </c>
      <c r="F115" t="s">
        <v>361</v>
      </c>
      <c r="G115">
        <v>20</v>
      </c>
      <c r="H115">
        <v>0.7</v>
      </c>
      <c r="I115" t="s">
        <v>362</v>
      </c>
      <c r="J115">
        <v>0</v>
      </c>
      <c r="K115">
        <v>0.56000000000000005</v>
      </c>
      <c r="L115" t="s">
        <v>363</v>
      </c>
      <c r="M115">
        <v>20</v>
      </c>
      <c r="N115">
        <v>0.64</v>
      </c>
      <c r="O115">
        <v>20</v>
      </c>
    </row>
    <row r="116" spans="1:15" x14ac:dyDescent="0.3">
      <c r="A116">
        <v>3084375</v>
      </c>
      <c r="B116">
        <v>0.86</v>
      </c>
      <c r="C116" t="s">
        <v>364</v>
      </c>
      <c r="D116">
        <v>66</v>
      </c>
      <c r="E116">
        <v>0.9</v>
      </c>
      <c r="F116" t="s">
        <v>365</v>
      </c>
      <c r="G116">
        <v>35</v>
      </c>
      <c r="H116">
        <v>1</v>
      </c>
      <c r="I116" t="s">
        <v>366</v>
      </c>
      <c r="J116">
        <v>0</v>
      </c>
      <c r="K116">
        <v>0.75</v>
      </c>
      <c r="L116" t="s">
        <v>367</v>
      </c>
      <c r="M116">
        <v>55</v>
      </c>
      <c r="N116">
        <v>0.88</v>
      </c>
      <c r="O116">
        <v>39</v>
      </c>
    </row>
    <row r="117" spans="1:15" x14ac:dyDescent="0.3">
      <c r="A117">
        <v>3084377</v>
      </c>
      <c r="B117">
        <v>0.8</v>
      </c>
      <c r="C117" t="s">
        <v>368</v>
      </c>
      <c r="D117">
        <v>63</v>
      </c>
      <c r="E117">
        <v>1</v>
      </c>
      <c r="F117" t="s">
        <v>369</v>
      </c>
      <c r="G117">
        <v>45</v>
      </c>
      <c r="H117">
        <v>1</v>
      </c>
      <c r="I117" t="s">
        <v>370</v>
      </c>
      <c r="J117">
        <v>0</v>
      </c>
      <c r="K117">
        <v>0.88</v>
      </c>
      <c r="L117" t="s">
        <v>371</v>
      </c>
      <c r="M117">
        <v>70</v>
      </c>
      <c r="N117">
        <v>0.92</v>
      </c>
      <c r="O117">
        <v>44.5</v>
      </c>
    </row>
    <row r="118" spans="1:15" x14ac:dyDescent="0.3">
      <c r="A118">
        <v>3084378</v>
      </c>
      <c r="B118">
        <v>0.76</v>
      </c>
      <c r="C118" t="s">
        <v>372</v>
      </c>
      <c r="D118">
        <v>35</v>
      </c>
      <c r="E118">
        <v>1</v>
      </c>
      <c r="F118" t="s">
        <v>373</v>
      </c>
      <c r="G118">
        <v>65</v>
      </c>
      <c r="H118">
        <v>1</v>
      </c>
      <c r="I118" t="s">
        <v>374</v>
      </c>
      <c r="J118">
        <v>0</v>
      </c>
      <c r="K118">
        <v>0.75</v>
      </c>
      <c r="L118" t="s">
        <v>375</v>
      </c>
      <c r="M118">
        <v>60</v>
      </c>
      <c r="N118">
        <v>0.88</v>
      </c>
      <c r="O118">
        <v>40</v>
      </c>
    </row>
    <row r="119" spans="1:15" x14ac:dyDescent="0.3">
      <c r="A119">
        <v>3084381</v>
      </c>
      <c r="B119">
        <v>0.83</v>
      </c>
      <c r="C119" t="s">
        <v>376</v>
      </c>
      <c r="D119">
        <v>65</v>
      </c>
      <c r="E119">
        <v>1</v>
      </c>
      <c r="F119" t="s">
        <v>377</v>
      </c>
      <c r="G119">
        <v>40</v>
      </c>
      <c r="H119">
        <v>0.8</v>
      </c>
      <c r="I119" t="s">
        <v>378</v>
      </c>
      <c r="J119">
        <v>0</v>
      </c>
      <c r="K119">
        <v>0.88</v>
      </c>
      <c r="L119" t="s">
        <v>379</v>
      </c>
      <c r="M119">
        <v>75</v>
      </c>
      <c r="N119">
        <v>0.88</v>
      </c>
      <c r="O119">
        <v>45</v>
      </c>
    </row>
    <row r="120" spans="1:15" x14ac:dyDescent="0.3">
      <c r="A120">
        <v>3084382</v>
      </c>
      <c r="B120">
        <v>0.88</v>
      </c>
      <c r="C120" t="s">
        <v>380</v>
      </c>
      <c r="D120">
        <v>82</v>
      </c>
      <c r="E120">
        <v>1</v>
      </c>
      <c r="F120" t="s">
        <v>381</v>
      </c>
      <c r="G120">
        <v>55</v>
      </c>
      <c r="H120">
        <v>1</v>
      </c>
      <c r="I120" t="s">
        <v>382</v>
      </c>
      <c r="J120">
        <v>0</v>
      </c>
      <c r="K120">
        <v>0.94</v>
      </c>
      <c r="L120" t="s">
        <v>348</v>
      </c>
      <c r="M120">
        <v>85</v>
      </c>
      <c r="N120">
        <v>0.95</v>
      </c>
      <c r="O120">
        <v>55.5</v>
      </c>
    </row>
    <row r="121" spans="1:15" x14ac:dyDescent="0.3">
      <c r="A121">
        <v>3084383</v>
      </c>
      <c r="B121">
        <v>0</v>
      </c>
      <c r="C121" t="s">
        <v>18</v>
      </c>
      <c r="D121">
        <v>0</v>
      </c>
      <c r="E121">
        <v>0</v>
      </c>
      <c r="F121" t="s">
        <v>18</v>
      </c>
      <c r="G121">
        <v>0</v>
      </c>
      <c r="H121">
        <v>0</v>
      </c>
      <c r="I121" t="s">
        <v>18</v>
      </c>
      <c r="J121">
        <v>0</v>
      </c>
      <c r="K121">
        <v>0</v>
      </c>
      <c r="L121" t="s">
        <v>18</v>
      </c>
      <c r="M121">
        <v>0</v>
      </c>
      <c r="N121">
        <v>0</v>
      </c>
      <c r="O121">
        <v>0</v>
      </c>
    </row>
    <row r="122" spans="1:15" x14ac:dyDescent="0.3">
      <c r="A122">
        <v>3084384</v>
      </c>
      <c r="B122">
        <v>0.92</v>
      </c>
      <c r="C122" t="s">
        <v>383</v>
      </c>
      <c r="D122">
        <v>79</v>
      </c>
      <c r="E122">
        <v>1</v>
      </c>
      <c r="F122" t="s">
        <v>384</v>
      </c>
      <c r="G122">
        <v>70</v>
      </c>
      <c r="H122">
        <v>1</v>
      </c>
      <c r="I122" t="s">
        <v>385</v>
      </c>
      <c r="J122">
        <v>0</v>
      </c>
      <c r="K122">
        <v>0.94</v>
      </c>
      <c r="L122" t="s">
        <v>386</v>
      </c>
      <c r="M122">
        <v>80</v>
      </c>
      <c r="N122">
        <v>0.96</v>
      </c>
      <c r="O122">
        <v>57.2</v>
      </c>
    </row>
    <row r="123" spans="1:15" x14ac:dyDescent="0.3">
      <c r="A123">
        <v>3084385</v>
      </c>
      <c r="B123">
        <v>0.64</v>
      </c>
      <c r="C123" t="s">
        <v>387</v>
      </c>
      <c r="D123">
        <v>58</v>
      </c>
      <c r="E123">
        <v>0.95</v>
      </c>
      <c r="F123" t="s">
        <v>388</v>
      </c>
      <c r="G123">
        <v>35</v>
      </c>
      <c r="H123">
        <v>0.8</v>
      </c>
      <c r="I123" t="s">
        <v>389</v>
      </c>
      <c r="J123">
        <v>0</v>
      </c>
      <c r="K123">
        <v>0.75</v>
      </c>
      <c r="L123" t="s">
        <v>367</v>
      </c>
      <c r="M123">
        <v>60</v>
      </c>
      <c r="N123">
        <v>0.79</v>
      </c>
      <c r="O123">
        <v>38.200000000000003</v>
      </c>
    </row>
    <row r="124" spans="1:15" x14ac:dyDescent="0.3">
      <c r="A124">
        <v>3084388</v>
      </c>
      <c r="B124">
        <v>0.83</v>
      </c>
      <c r="C124" t="s">
        <v>390</v>
      </c>
      <c r="D124">
        <v>85</v>
      </c>
      <c r="E124">
        <v>1</v>
      </c>
      <c r="F124" t="s">
        <v>391</v>
      </c>
      <c r="G124">
        <v>60</v>
      </c>
      <c r="H124">
        <v>1</v>
      </c>
      <c r="I124" t="s">
        <v>392</v>
      </c>
      <c r="J124">
        <v>20</v>
      </c>
      <c r="K124">
        <v>1</v>
      </c>
      <c r="L124" t="s">
        <v>393</v>
      </c>
      <c r="M124">
        <v>75</v>
      </c>
      <c r="N124">
        <v>0.96</v>
      </c>
      <c r="O124">
        <v>60</v>
      </c>
    </row>
    <row r="125" spans="1:15" x14ac:dyDescent="0.3">
      <c r="A125">
        <v>3084389</v>
      </c>
      <c r="B125">
        <v>0.91</v>
      </c>
      <c r="C125" t="s">
        <v>394</v>
      </c>
      <c r="D125">
        <v>88</v>
      </c>
      <c r="E125">
        <v>1</v>
      </c>
      <c r="F125" t="s">
        <v>395</v>
      </c>
      <c r="G125">
        <v>55</v>
      </c>
      <c r="H125">
        <v>0.95</v>
      </c>
      <c r="I125" t="s">
        <v>396</v>
      </c>
      <c r="J125">
        <v>10</v>
      </c>
      <c r="K125">
        <v>1</v>
      </c>
      <c r="L125" t="s">
        <v>397</v>
      </c>
      <c r="M125">
        <v>70</v>
      </c>
      <c r="N125">
        <v>0.96</v>
      </c>
      <c r="O125">
        <v>55.8</v>
      </c>
    </row>
    <row r="126" spans="1:15" x14ac:dyDescent="0.3">
      <c r="A126">
        <v>3084393</v>
      </c>
      <c r="B126">
        <v>0.56999999999999995</v>
      </c>
      <c r="C126" t="s">
        <v>398</v>
      </c>
      <c r="D126">
        <v>55</v>
      </c>
      <c r="E126">
        <v>0.55000000000000004</v>
      </c>
      <c r="F126" t="s">
        <v>399</v>
      </c>
      <c r="G126">
        <v>40</v>
      </c>
      <c r="H126">
        <v>0.8</v>
      </c>
      <c r="I126" t="s">
        <v>400</v>
      </c>
      <c r="J126">
        <v>5</v>
      </c>
      <c r="K126">
        <v>0.6</v>
      </c>
      <c r="L126" t="s">
        <v>401</v>
      </c>
      <c r="M126">
        <v>40</v>
      </c>
      <c r="N126">
        <v>0.63</v>
      </c>
      <c r="O126">
        <v>35</v>
      </c>
    </row>
    <row r="127" spans="1:15" x14ac:dyDescent="0.3">
      <c r="A127">
        <v>3084394</v>
      </c>
      <c r="B127">
        <v>0.83</v>
      </c>
      <c r="C127" t="s">
        <v>402</v>
      </c>
      <c r="D127">
        <v>70</v>
      </c>
      <c r="E127">
        <v>1</v>
      </c>
      <c r="F127" t="s">
        <v>403</v>
      </c>
      <c r="G127">
        <v>60</v>
      </c>
      <c r="H127">
        <v>1</v>
      </c>
      <c r="I127" t="s">
        <v>404</v>
      </c>
      <c r="J127">
        <v>10</v>
      </c>
      <c r="K127">
        <v>0.85</v>
      </c>
      <c r="L127" t="s">
        <v>405</v>
      </c>
      <c r="M127">
        <v>60</v>
      </c>
      <c r="N127">
        <v>0.92</v>
      </c>
      <c r="O127">
        <v>50</v>
      </c>
    </row>
    <row r="128" spans="1:15" x14ac:dyDescent="0.3">
      <c r="A128">
        <v>3084398</v>
      </c>
      <c r="B128">
        <v>0.8</v>
      </c>
      <c r="C128" t="s">
        <v>406</v>
      </c>
      <c r="D128">
        <v>65</v>
      </c>
      <c r="E128">
        <v>0.85</v>
      </c>
      <c r="F128" t="s">
        <v>407</v>
      </c>
      <c r="G128">
        <v>50</v>
      </c>
      <c r="H128">
        <v>1</v>
      </c>
      <c r="I128" t="s">
        <v>408</v>
      </c>
      <c r="J128">
        <v>10</v>
      </c>
      <c r="K128">
        <v>0.75</v>
      </c>
      <c r="L128" t="s">
        <v>409</v>
      </c>
      <c r="M128">
        <v>65</v>
      </c>
      <c r="N128">
        <v>0.85</v>
      </c>
      <c r="O128">
        <v>47.5</v>
      </c>
    </row>
    <row r="129" spans="1:15" x14ac:dyDescent="0.3">
      <c r="A129">
        <v>3084400</v>
      </c>
      <c r="B129">
        <v>0.77</v>
      </c>
      <c r="C129" t="s">
        <v>410</v>
      </c>
      <c r="D129">
        <v>75</v>
      </c>
      <c r="E129">
        <v>0.95</v>
      </c>
      <c r="F129" t="s">
        <v>411</v>
      </c>
      <c r="G129">
        <v>60</v>
      </c>
      <c r="H129">
        <v>1</v>
      </c>
      <c r="I129" t="s">
        <v>412</v>
      </c>
      <c r="J129">
        <v>15</v>
      </c>
      <c r="K129">
        <v>0.8</v>
      </c>
      <c r="L129" t="s">
        <v>413</v>
      </c>
      <c r="M129">
        <v>55</v>
      </c>
      <c r="N129">
        <v>0.88</v>
      </c>
      <c r="O129">
        <v>51.2</v>
      </c>
    </row>
    <row r="130" spans="1:15" x14ac:dyDescent="0.3">
      <c r="A130">
        <v>3084401</v>
      </c>
      <c r="B130">
        <v>0.96</v>
      </c>
      <c r="C130" t="s">
        <v>414</v>
      </c>
      <c r="D130">
        <v>80</v>
      </c>
      <c r="E130">
        <v>1</v>
      </c>
      <c r="F130" t="s">
        <v>415</v>
      </c>
      <c r="G130">
        <v>65</v>
      </c>
      <c r="H130">
        <v>1</v>
      </c>
      <c r="I130" t="s">
        <v>416</v>
      </c>
      <c r="J130">
        <v>15</v>
      </c>
      <c r="K130">
        <v>0.95</v>
      </c>
      <c r="L130" t="s">
        <v>417</v>
      </c>
      <c r="M130">
        <v>80</v>
      </c>
      <c r="N130">
        <v>0.98</v>
      </c>
      <c r="O130">
        <v>60</v>
      </c>
    </row>
    <row r="131" spans="1:15" x14ac:dyDescent="0.3">
      <c r="A131">
        <v>3084402</v>
      </c>
      <c r="B131">
        <v>0.51</v>
      </c>
      <c r="C131" t="s">
        <v>418</v>
      </c>
      <c r="D131">
        <v>50</v>
      </c>
      <c r="E131">
        <v>0.65</v>
      </c>
      <c r="F131" t="s">
        <v>419</v>
      </c>
      <c r="G131">
        <v>45</v>
      </c>
      <c r="H131">
        <v>0.85</v>
      </c>
      <c r="I131" t="s">
        <v>420</v>
      </c>
      <c r="J131">
        <v>5</v>
      </c>
      <c r="K131">
        <v>0.65</v>
      </c>
      <c r="L131" t="s">
        <v>421</v>
      </c>
      <c r="M131">
        <v>35</v>
      </c>
      <c r="N131">
        <v>0.67</v>
      </c>
      <c r="O131">
        <v>33.799999999999997</v>
      </c>
    </row>
    <row r="132" spans="1:15" x14ac:dyDescent="0.3">
      <c r="A132">
        <v>3084403</v>
      </c>
      <c r="B132">
        <v>0</v>
      </c>
      <c r="C132" t="s">
        <v>18</v>
      </c>
      <c r="D132">
        <v>0</v>
      </c>
      <c r="E132">
        <v>0</v>
      </c>
      <c r="F132" t="s">
        <v>18</v>
      </c>
      <c r="G132">
        <v>0</v>
      </c>
      <c r="H132">
        <v>0</v>
      </c>
      <c r="I132" t="s">
        <v>18</v>
      </c>
      <c r="J132">
        <v>0</v>
      </c>
      <c r="K132">
        <v>0</v>
      </c>
      <c r="L132" t="s">
        <v>18</v>
      </c>
      <c r="M132">
        <v>0</v>
      </c>
      <c r="N132">
        <v>0</v>
      </c>
      <c r="O132">
        <v>0</v>
      </c>
    </row>
    <row r="133" spans="1:15" x14ac:dyDescent="0.3">
      <c r="A133">
        <v>3084404</v>
      </c>
      <c r="B133">
        <v>0.88</v>
      </c>
      <c r="C133" t="s">
        <v>422</v>
      </c>
      <c r="D133">
        <v>85</v>
      </c>
      <c r="E133">
        <v>1</v>
      </c>
      <c r="F133" t="s">
        <v>423</v>
      </c>
      <c r="G133">
        <v>60</v>
      </c>
      <c r="H133">
        <v>0.95</v>
      </c>
      <c r="I133" t="s">
        <v>424</v>
      </c>
      <c r="J133">
        <v>10</v>
      </c>
      <c r="K133">
        <v>0.9</v>
      </c>
      <c r="L133" t="s">
        <v>425</v>
      </c>
      <c r="M133">
        <v>70</v>
      </c>
      <c r="N133">
        <v>0.93</v>
      </c>
      <c r="O133">
        <v>56.2</v>
      </c>
    </row>
    <row r="134" spans="1:15" x14ac:dyDescent="0.3">
      <c r="A134">
        <v>3084405</v>
      </c>
      <c r="B134">
        <v>0.85</v>
      </c>
      <c r="C134" t="s">
        <v>426</v>
      </c>
      <c r="D134">
        <v>75</v>
      </c>
      <c r="E134">
        <v>0.95</v>
      </c>
      <c r="F134" t="s">
        <v>427</v>
      </c>
      <c r="G134">
        <v>55</v>
      </c>
      <c r="H134">
        <v>0.95</v>
      </c>
      <c r="I134" t="s">
        <v>428</v>
      </c>
      <c r="J134">
        <v>10</v>
      </c>
      <c r="K134">
        <v>0.85</v>
      </c>
      <c r="L134" t="s">
        <v>429</v>
      </c>
      <c r="M134">
        <v>50</v>
      </c>
      <c r="N134">
        <v>0.9</v>
      </c>
      <c r="O134">
        <v>47.5</v>
      </c>
    </row>
    <row r="135" spans="1:15" x14ac:dyDescent="0.3">
      <c r="A135">
        <v>3084407</v>
      </c>
      <c r="B135">
        <v>0.55000000000000004</v>
      </c>
      <c r="C135" t="s">
        <v>430</v>
      </c>
      <c r="D135">
        <v>55</v>
      </c>
      <c r="E135">
        <v>0.85</v>
      </c>
      <c r="F135" t="s">
        <v>431</v>
      </c>
      <c r="G135">
        <v>45</v>
      </c>
      <c r="H135">
        <v>1</v>
      </c>
      <c r="I135" t="s">
        <v>432</v>
      </c>
      <c r="J135">
        <v>5</v>
      </c>
      <c r="K135">
        <v>0.7</v>
      </c>
      <c r="L135" t="s">
        <v>433</v>
      </c>
      <c r="M135">
        <v>45</v>
      </c>
      <c r="N135">
        <v>0.78</v>
      </c>
      <c r="O135">
        <v>37.5</v>
      </c>
    </row>
    <row r="136" spans="1:15" x14ac:dyDescent="0.3">
      <c r="A136">
        <v>3084408</v>
      </c>
      <c r="B136">
        <v>0.56999999999999995</v>
      </c>
      <c r="C136" t="s">
        <v>434</v>
      </c>
      <c r="D136">
        <v>60</v>
      </c>
      <c r="E136">
        <v>0.65</v>
      </c>
      <c r="F136" t="s">
        <v>435</v>
      </c>
      <c r="G136">
        <v>40</v>
      </c>
      <c r="H136">
        <v>0.8</v>
      </c>
      <c r="I136" t="s">
        <v>436</v>
      </c>
      <c r="J136">
        <v>0</v>
      </c>
      <c r="K136">
        <v>0.55000000000000004</v>
      </c>
      <c r="L136" t="s">
        <v>437</v>
      </c>
      <c r="M136">
        <v>30</v>
      </c>
      <c r="N136">
        <v>0.64</v>
      </c>
      <c r="O136">
        <v>32.5</v>
      </c>
    </row>
    <row r="137" spans="1:15" x14ac:dyDescent="0.3">
      <c r="A137">
        <v>3084409</v>
      </c>
      <c r="B137">
        <v>0.9</v>
      </c>
      <c r="C137" t="s">
        <v>438</v>
      </c>
      <c r="D137">
        <v>78</v>
      </c>
      <c r="E137">
        <v>1</v>
      </c>
      <c r="F137" t="s">
        <v>439</v>
      </c>
      <c r="G137">
        <v>60</v>
      </c>
      <c r="H137">
        <v>1</v>
      </c>
      <c r="I137" t="s">
        <v>440</v>
      </c>
      <c r="J137">
        <v>15</v>
      </c>
      <c r="K137">
        <v>0.9</v>
      </c>
      <c r="L137" t="s">
        <v>441</v>
      </c>
      <c r="M137">
        <v>75</v>
      </c>
      <c r="N137">
        <v>0.95</v>
      </c>
      <c r="O137">
        <v>57</v>
      </c>
    </row>
    <row r="138" spans="1:15" x14ac:dyDescent="0.3">
      <c r="A138" t="s">
        <v>444</v>
      </c>
      <c r="B138">
        <f>COUNTIF(B2:B137,0)</f>
        <v>23</v>
      </c>
      <c r="E138">
        <f>COUNTIF(E2:E137,0)</f>
        <v>23</v>
      </c>
      <c r="H138">
        <f>COUNTIF(H2:H137,0)</f>
        <v>23</v>
      </c>
      <c r="K138">
        <f>COUNTIF(K2:K137,0)</f>
        <v>23</v>
      </c>
    </row>
    <row r="139" spans="1:15" x14ac:dyDescent="0.3">
      <c r="A139" t="s">
        <v>442</v>
      </c>
      <c r="B139">
        <f>COUNTIF(B2:B137, 1)</f>
        <v>0</v>
      </c>
      <c r="E139">
        <f>COUNTIF(E2:E137, 1)</f>
        <v>50</v>
      </c>
      <c r="H139">
        <f>COUNTIF(H2:H137, 1)</f>
        <v>40</v>
      </c>
      <c r="K139">
        <f>COUNTIF(K2:K137, 1)</f>
        <v>9</v>
      </c>
    </row>
    <row r="140" spans="1:15" x14ac:dyDescent="0.3">
      <c r="A140" t="s">
        <v>443</v>
      </c>
      <c r="B140">
        <f>ROUND(AVERAGE(B2:B137),2)</f>
        <v>0.64</v>
      </c>
      <c r="D140">
        <f>ROUND(AVERAGE(D2:D137),2)</f>
        <v>50.38</v>
      </c>
      <c r="E140">
        <f>ROUND(AVERAGE(E2:E137),2)</f>
        <v>0.74</v>
      </c>
      <c r="G140">
        <f>ROUND(AVERAGE(G2:G137),2)</f>
        <v>37.83</v>
      </c>
      <c r="H140">
        <f>ROUND(AVERAGE(H2:H137),2)</f>
        <v>0.74</v>
      </c>
      <c r="J140">
        <f>ROUND(AVERAGE(J2:J137),2)</f>
        <v>8.49</v>
      </c>
      <c r="K140">
        <f>ROUND(AVERAGE(K2:K137),2)</f>
        <v>0.69</v>
      </c>
      <c r="M140">
        <f>ROUND(AVERAGE(M2:M137),2)</f>
        <v>47.61</v>
      </c>
      <c r="O140">
        <f>ROUND(AVERAGE(O2:O137),2)</f>
        <v>36.08</v>
      </c>
    </row>
    <row r="141" spans="1:15" x14ac:dyDescent="0.3">
      <c r="A141" t="s">
        <v>445</v>
      </c>
      <c r="D141">
        <f>COUNTIF(D2:D137, "&gt;50")</f>
        <v>83</v>
      </c>
      <c r="G141">
        <f>COUNTIF(G2:G137, "&gt;50")</f>
        <v>33</v>
      </c>
      <c r="J141">
        <f>COUNTIF(J2:J137, "&gt;50")</f>
        <v>4</v>
      </c>
      <c r="M141">
        <f>COUNTIF(M2:M137, "&gt;50")</f>
        <v>74</v>
      </c>
      <c r="O141">
        <f>COUNTIF(O2:O137, "&gt;50")</f>
        <v>37</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Töölehed</vt:lpstr>
      </vt:variant>
      <vt:variant>
        <vt:i4>1</vt:i4>
      </vt:variant>
    </vt:vector>
  </HeadingPairs>
  <TitlesOfParts>
    <vt:vector size="1" baseType="lpstr">
      <vt:lpstr>Hinded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Karl Erik Valdisoo</cp:lastModifiedBy>
  <dcterms:created xsi:type="dcterms:W3CDTF">2026-04-24T13:22:20Z</dcterms:created>
  <dcterms:modified xsi:type="dcterms:W3CDTF">2026-05-01T10:45:16Z</dcterms:modified>
</cp:coreProperties>
</file>